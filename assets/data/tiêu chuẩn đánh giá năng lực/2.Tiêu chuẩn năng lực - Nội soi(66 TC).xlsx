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Quyen\Desktop\tiêu chuẩn đánh giá năng lực\"/>
    </mc:Choice>
  </mc:AlternateContent>
  <xr:revisionPtr revIDLastSave="0" documentId="8_{C49CE3BD-0C26-4A0D-8FD7-BAE3A2685469}" xr6:coauthVersionLast="47" xr6:coauthVersionMax="47" xr10:uidLastSave="{00000000-0000-0000-0000-000000000000}"/>
  <bookViews>
    <workbookView xWindow="-96" yWindow="-96" windowWidth="17472" windowHeight="10392" firstSheet="1" activeTab="2" xr2:uid="{00000000-000D-0000-FFFF-FFFF00000000}"/>
  </bookViews>
  <sheets>
    <sheet name="1. Bảng năng lực ĐD" sheetId="3" r:id="rId1"/>
    <sheet name="2. Tiêu chuẩn bắt buộc" sheetId="4" r:id="rId2"/>
    <sheet name="3. HD đánh giá chi tiết ĐD" sheetId="5" r:id="rId3"/>
    <sheet name="4. Tiêu chuẩn năng lực - ĐDNS" sheetId="1" r:id="rId4"/>
    <sheet name="5. Tự đánh giá năng lực - ĐD NS" sheetId="2" r:id="rId5"/>
  </sheets>
  <definedNames>
    <definedName name="_xlnm.Print_Area" localSheetId="2">'3. HD đánh giá chi tiết ĐD'!$A$1:$K$123</definedName>
    <definedName name="_xlnm.Print_Area" localSheetId="3">'4. Tiêu chuẩn năng lực - ĐDNS'!$A:$F</definedName>
    <definedName name="_xlnm.Print_Area" localSheetId="4">'5. Tự đánh giá năng lực - ĐD NS'!#REF!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1" i="1" l="1"/>
  <c r="F104" i="2"/>
  <c r="F89" i="2"/>
  <c r="F73" i="2"/>
  <c r="F32" i="2"/>
  <c r="F114" i="1" l="1"/>
  <c r="F99" i="1"/>
  <c r="F83" i="1"/>
  <c r="F105" i="5"/>
  <c r="F90" i="5"/>
  <c r="F71" i="5"/>
  <c r="F30" i="5"/>
  <c r="F15" i="5"/>
  <c r="F99" i="3"/>
  <c r="F84" i="3"/>
  <c r="F68" i="3"/>
  <c r="F2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Noisoi</author>
  </authors>
  <commentList>
    <comment ref="D65" authorId="0" shapeId="0" xr:uid="{00000000-0006-0000-0200-000001000000}">
      <text>
        <r>
          <rPr>
            <b/>
            <sz val="9"/>
            <rFont val="Tahoma"/>
            <charset val="134"/>
          </rPr>
          <t>Noisoi:</t>
        </r>
        <r>
          <rPr>
            <sz val="9"/>
            <rFont val="Tahoma"/>
            <charset val="134"/>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Noisoi</author>
  </authors>
  <commentList>
    <comment ref="D77" authorId="0" shapeId="0" xr:uid="{00000000-0006-0000-0300-000001000000}">
      <text>
        <r>
          <rPr>
            <b/>
            <sz val="9"/>
            <rFont val="Tahoma"/>
            <charset val="134"/>
          </rPr>
          <t>Noisoi:</t>
        </r>
        <r>
          <rPr>
            <sz val="9"/>
            <rFont val="Tahoma"/>
            <charset val="134"/>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Noisoi</author>
  </authors>
  <commentList>
    <comment ref="D67" authorId="0" shapeId="0" xr:uid="{00000000-0006-0000-0400-000001000000}">
      <text>
        <r>
          <rPr>
            <b/>
            <sz val="9"/>
            <rFont val="Tahoma"/>
            <charset val="134"/>
          </rPr>
          <t>Noisoi:</t>
        </r>
        <r>
          <rPr>
            <sz val="9"/>
            <rFont val="Tahoma"/>
            <charset val="134"/>
          </rPr>
          <t xml:space="preserve">
</t>
        </r>
      </text>
    </comment>
  </commentList>
</comments>
</file>

<file path=xl/sharedStrings.xml><?xml version="1.0" encoding="utf-8"?>
<sst xmlns="http://schemas.openxmlformats.org/spreadsheetml/2006/main" count="1314" uniqueCount="592">
  <si>
    <t>Cấp 1</t>
  </si>
  <si>
    <t>Tập sự</t>
  </si>
  <si>
    <t xml:space="preserve">Chưa có khả năng truyền đạt, hướng dẫn người khác hiểu biết về một lĩnh vực chuyên môn. 
Chưa có kinh nghiệm thực hành, chỉ có khả năng thực hành theo các quy tắc hướng dẫn trong tình huống cụ thể. </t>
  </si>
  <si>
    <t>Cấp 2</t>
  </si>
  <si>
    <t>Có khả năng thực hành</t>
  </si>
  <si>
    <t>Có khả năng thực hành hiệu quả trong một số lĩnh vực chăm sóc và đôi khi cần gợi ý. 
Có khả năng tiếp nhận và đưa ra hướng xử lý phù hợp đối với những yêu cầu, thắc mắc trong phạm vi công việc được phân công.</t>
  </si>
  <si>
    <t>Cấp 3</t>
  </si>
  <si>
    <t>Đủ năng lực</t>
  </si>
  <si>
    <t>Nhận biết những mục tiêu dài hạn, tự lên kế hoạch hành động dựa trên khả năng phân tích và tổng hợp để đạt được mục tiêu. 
Sử dụng tất cả kiến thức, kinh nghiệm chuyên môn, kể cả những việc ngoài chuyên môn để đưa ra những đối sách, phương án khả thi và tốt nhất để giải quyết vấn đề. 
Tuy nhiên vẫn còn chưa chủ động.</t>
  </si>
  <si>
    <t xml:space="preserve">Cấp 4 </t>
  </si>
  <si>
    <t>Thành thạo</t>
  </si>
  <si>
    <t>Luôn chủ động tìm hiểu, phân tích, đánh giá hiện trạng, từ đó đưa ra được các giải pháp, phương án để thay đổi và cải thiện các vấn đề quan tâm. 
Có kiến thức chuyên môn sâu rộng và kinh nghiệm làm việc tối thiểu 05 năm. Luôn chủ động trong mọi việc để hỗ trợ đồng nghiệp và nhân viên của mình phát triển.</t>
  </si>
  <si>
    <t>Cấp 5</t>
  </si>
  <si>
    <t>Chuyên gia 
lâm sàng</t>
  </si>
  <si>
    <t>Có mối quan hệ rộng với các chuyên gia trong cùng lĩnh vực; chịu trách nhiệm triển khai, ứng dụng các kết quả nghiên cứu vào thực hành. 
Có khả năng phân tích, đánh giá và đề xuất hướng phát triển. Giữ vai trò quản lý trong lĩnh vực chuyên môn được phân công, chịu trách nhiệm trước lãnh đạo về hoạt động của nhóm.</t>
  </si>
  <si>
    <t>Cấp 6</t>
  </si>
  <si>
    <t>Chuyên gia 
quản lý</t>
  </si>
  <si>
    <t>Là người sáng suốt, luôn có những kế hoạch, chiến lược dài hạn, trung hạn và ngắn hạn để hoạch định hướng phát triển. Là người dám nghĩ dám làm và là người quản trị, phân tán rủi ro tốt. 
Là người mạnh mẽ, có sức khoẻ tốt và chịu được áp lực cao, cường độ làm việc căng thẳng.
Có mối quan hệ rộng và có được sự tin tưởng, công nhận từ nhiều người. Có năng lực truyền cảm hứng và tạo nên sự ảnh hưởng tốt đến những người xung quanh. 
Ngoài các năng lực chuyên môn, kinh nghiệm, còn đòi hỏi khả năng thực hiện TẦM NHÌN và SỨ MỆNH của lĩnh vực phụ trách.</t>
  </si>
  <si>
    <t>Cấp 7</t>
  </si>
  <si>
    <t>Chuyên gia 
cao cấp</t>
  </si>
  <si>
    <t>I.</t>
  </si>
  <si>
    <t>TIÊU CHUẨN BẰNG CẤP</t>
  </si>
  <si>
    <t>ĐIỂM 
TỐI ĐA</t>
  </si>
  <si>
    <t>TIÊU CHUẨN 1.
Bằng cấp chuyên môn</t>
  </si>
  <si>
    <t>Tiêu chí</t>
  </si>
  <si>
    <t>Chọn 1 đáp án phù hợp</t>
  </si>
  <si>
    <t>Chuyên khoa 1/Thạc sĩ</t>
  </si>
  <si>
    <t>Tiến sĩ</t>
  </si>
  <si>
    <t>TIÊU CHUẨN 2. 
Chứng nhận - chứng chỉ</t>
  </si>
  <si>
    <t>Trong nước ≥ 1 năm</t>
  </si>
  <si>
    <t>Nước ngoài ≥ 6 tháng</t>
  </si>
  <si>
    <t>TIÊU CHUẨN 3.
Ngoại ngữ</t>
  </si>
  <si>
    <t>TOEIC 450; IELTS 4.5; TOEFL iBT 53 hoặc tương đương</t>
  </si>
  <si>
    <t>TOEIC 600; IELTS 5.5; TOEFL iBT 65 hoặc tương đương</t>
  </si>
  <si>
    <t>TOEIC 800; IELTS 6.5; TOEFL iBT 79 hoặc tương đương</t>
  </si>
  <si>
    <t>TIÊU CHUẨN 4.
Công nghệ thông tin</t>
  </si>
  <si>
    <t>Đối với Tiêu chí 1: Ưu tiên cộng điểm nếu tốt nghiệp từ các Trường sau:</t>
  </si>
  <si>
    <t xml:space="preserve">* Mục A: </t>
  </si>
  <si>
    <t xml:space="preserve">  Đại học Y Dược TPHCM (+10)</t>
  </si>
  <si>
    <t xml:space="preserve">* Mục B: </t>
  </si>
  <si>
    <t xml:space="preserve">- Đại học Y Dược TPHCM / Đại học Quốc tế Miền Đông (+20)                             </t>
  </si>
  <si>
    <t xml:space="preserve">- Đại học nước ngoài (+30)                                                                                                                      </t>
  </si>
  <si>
    <t>(Châu Âu (trừ Đông Âu), Mỹ, Canada, New Zealand, Úc, Nhật Bản, Hàn Quốc, Singapore, Đài Loan, Malaysia)</t>
  </si>
  <si>
    <t>II.</t>
  </si>
  <si>
    <t>NĂNG LỰC CHUYÊN MÔN</t>
  </si>
  <si>
    <t>TIÊU CHUẨN 5.
Hành nghề theo pháp luật</t>
  </si>
  <si>
    <t>Tuân thủ các quy định hành nghề theo luật định liên quan đến y tế, thực hành điều dưỡng, Bộ Y tế</t>
  </si>
  <si>
    <t>TIÊU CHUẨN 6.
Hành nghề theo tiêu chuẩn đạo đức nghề nghiệp</t>
  </si>
  <si>
    <t>Chịu trách nhiệm cá nhân khi đưa ra các quyết định chăm sóc và can thiệp chăm sóc</t>
  </si>
  <si>
    <t>Quảng bá hình ảnh người điều dưỡng, thể hiện tác phong và tư cách tốt, trang phục phù hợp, lời nói thuyết phục và cách cư xử đúng mực</t>
  </si>
  <si>
    <t>Phát hiện sớm những thay đổi đột ngột về tình trạng sức khỏe của người bệnh</t>
  </si>
  <si>
    <t>Chọn 1 năng lực phù hợp nhất</t>
  </si>
  <si>
    <t>Biết cách xử trí phù hợp và thông báo kịp thời đến người có trách nhiệm, yêu cầu hỗ trợ kịp thời</t>
  </si>
  <si>
    <t>III.</t>
  </si>
  <si>
    <t>NĂNG LỰC ĐÀO TẠO
NGHIÊN CỨU KHOA HỌC
THỰC HÀNH DỰA TRÊN CHỨNG CỨ (EBP)</t>
  </si>
  <si>
    <t>ĐIỂM
TỐI ĐA</t>
  </si>
  <si>
    <t>Phân tích được mối quan hệ giữa nhu cầu đào tạo với trình độ, vị trí việc làm của đối tượng thuộc phạm vi phụ trách, xây dựng được kế hoạch đào tạo</t>
  </si>
  <si>
    <t>Đề xuất, xây dựng các phương pháp đào tạo linh động, phù hợp với hoàn cảnh đảm bảo nâng cao chất lượng đào tạo</t>
  </si>
  <si>
    <t>Tổ chức thực hiện được kế hoạch đào tạo và tham gia đào tạo theo đúng tiến độ và đạt chất lượng</t>
  </si>
  <si>
    <t>Đánh giá được hiệu quả đào tạo: thống kê, phân tích, diễn giải và báo cáo theo kế hoạch;
Có chỉ ra những nhược điểm cần khắc phục và đề xuất giải pháp cải tiến chất lượng</t>
  </si>
  <si>
    <t>Xây dựng được công cụ, phương pháp đánh giá thay đổi kiến thức của người được đào tạo và sau khi đào tạo</t>
  </si>
  <si>
    <t>Tham gia giảng dạy ít nhất 2 bài/năm/khoa hoặc 1 bài toàn bệnh viện</t>
  </si>
  <si>
    <t>Hiểu biết về các kỹ thuật nghiên cứu, khảo sát, đánh giá, áp dụng phù hợp trong chăm sóc người bệnh</t>
  </si>
  <si>
    <t>Sử dụng thành thạo công nghệ thông tin trong thu thập, phân tích số liệu (SPSS, STATA, R)</t>
  </si>
  <si>
    <t xml:space="preserve">Chủ nhiệm đề tài cấp cơ sở, có công bố trên tạp chí trong nước </t>
  </si>
  <si>
    <t>Chọn 1 thành tích cao nhất</t>
  </si>
  <si>
    <t>Đăng bài báo nước ngoài 
Hoặc chủ nhiệm đề tài cấp Nhà nước</t>
  </si>
  <si>
    <t>Thực hiện nghiên cứu và có giải pháp thích hợp dựa trên kết quả nghiên cứu</t>
  </si>
  <si>
    <t>Ứng dụng kết quả nghiên cứu khoa học vào thực hành chăm sóc, quản lý công việc</t>
  </si>
  <si>
    <t>Sử dụng các bằng chứng từ nghiên cứu khoa học để nâng cao chất lượng thực hành chăm sóc</t>
  </si>
  <si>
    <t>IV.</t>
  </si>
  <si>
    <t>NĂNG LỰC LÃNH ĐẠO &amp; QUẢN LÝ</t>
  </si>
  <si>
    <t>Đề xuất các thiết bị, vật tư phù hợp</t>
  </si>
  <si>
    <t>Sử dụng thành thạo các trang thiết bị, phương tiện sử dụng trong chăm sóc an toàn, hiệu quả</t>
  </si>
  <si>
    <t>Đánh giá được hiệu quả kinh tế của các biện pháp chăm sóc tại bệnh viện</t>
  </si>
  <si>
    <t>Xây dựng kế hoạch sử dụng các nguồn lực trong chăm sóc người bệnh trong phạm vi phân công hiệu quả</t>
  </si>
  <si>
    <t>Tổ chức, triển khai thực hiện kế hoạch hiệu quả</t>
  </si>
  <si>
    <t>Có đề án cải tiến giúp bệnh viện ứng dụng hiệu quả</t>
  </si>
  <si>
    <t>Tuân thủ các tiêu chuẩn và quy tắc về an toàn lao động</t>
  </si>
  <si>
    <t>Tuân thủ các chính sách, quy trình về phòng ngừa cách ly và kiểm soát nhiễm khuẩn (kiểm soát môi trường chăm sóc, quản lý và xử lý chất thải)</t>
  </si>
  <si>
    <t>Tuân thủ quy định dự phòng phơi nhiễm với các tác nhân gây bệnh và biết được phương pháp xử lý</t>
  </si>
  <si>
    <t>Tuân thủ các quy trình an toàn phòng cháy chữa cháy và các trường hợp khẩn cấp khác</t>
  </si>
  <si>
    <t>V.</t>
  </si>
  <si>
    <t>PHÁT TRIỂN
CHUYÊN MÔN CÁ NHÂN &amp; CHẤT LƯỢNG</t>
  </si>
  <si>
    <t>Xác định rõ mục tiêu, nguyện vọng phát triển nghề nghiệp và biết được điểm mạnh và yếu của bản thân</t>
  </si>
  <si>
    <t>Chủ động tham gia tích cực đầy đủ hoạt động đào tạo liên tục của bệnh viện cấp khoa, cấp bệnh viện để liên tục nâng cao kiến thức và kỹ năng</t>
  </si>
  <si>
    <t>Có thái độ tích cực với những đổi mới, quan điểm trái chiều, thể hiện sự lắng nghe các kiến nghị và các đề xuất, thử nghiệm các phương pháp mới</t>
  </si>
  <si>
    <t>Hỗ trợ tích cực, đóng góp vào việc đào tạo, nâng cao trình độ, phát triển nghề nghiệp cho đồng nghiệp</t>
  </si>
  <si>
    <t>Tiếp nhận, báo cáo, đưa ra biện pháp khắc phục hiệu quả</t>
  </si>
  <si>
    <t>Dựa trên các tìm kiếm về vấn đề tồn tại của chuyên môn và hành chánh, đưa giải pháp cải tiến phù hợp, hiệu quả</t>
  </si>
  <si>
    <t>Xây dựng kế hoạch làm việc cho cá nhân hiệu quả và khoa học</t>
  </si>
  <si>
    <t>Xác định khối lượng công việc và có cách sắp xếp theo thứ tự ưu tiên một cách hiệu quả, hợp lý</t>
  </si>
  <si>
    <t>BV hạng đặc biệt, hạng 1</t>
  </si>
  <si>
    <t>≤ 5 
năm</t>
  </si>
  <si>
    <t>BV hạng 2, 3</t>
  </si>
  <si>
    <t>6-9 
năm</t>
  </si>
  <si>
    <t>BV hạng 2</t>
  </si>
  <si>
    <t>10-15 năm</t>
  </si>
  <si>
    <t xml:space="preserve">&gt; 15 năm </t>
  </si>
  <si>
    <t>* Sự trải nghiệm nghề nghiệp được tính bằng số năm phù hợp với Bằng cấp đã chọn ở Tiêu chí 1</t>
  </si>
  <si>
    <t xml:space="preserve">* Trước thời điểm được tuyển dụng (theo năm) được tính theo công thức: </t>
  </si>
  <si>
    <t xml:space="preserve">- Đối với bằng cấp Trung học/Cao đẳng (Tiêu chí 1): </t>
  </si>
  <si>
    <t>Bậc lương nhận việc (theo 9 mức độ) x 2</t>
  </si>
  <si>
    <t xml:space="preserve">- Đối với bằng cấp Đại học/Sau đại học (Tiêu chí 1 và 2): </t>
  </si>
  <si>
    <t>Bậc lương nhận việc (theo 9 mức độ) x 3</t>
  </si>
  <si>
    <t>CẤP 5</t>
  </si>
  <si>
    <t>BỆNH VIỆN ĐẠI HỌC Y DƯỢC TPHCM</t>
  </si>
  <si>
    <t xml:space="preserve">              PHÒNG ĐIỀU DƯỠNG</t>
  </si>
  <si>
    <t>TIÊU CHUẨN ĐIỀU DƯỠNG UMC
VÀ CÁC TIÊU CHÍ ĐÁNH GIÁ</t>
  </si>
  <si>
    <r>
      <t xml:space="preserve">Cao đẳng/Trung học
  </t>
    </r>
    <r>
      <rPr>
        <sz val="10"/>
        <color indexed="10"/>
        <rFont val="Times New Roman"/>
        <family val="1"/>
      </rPr>
      <t xml:space="preserve">  </t>
    </r>
    <r>
      <rPr>
        <i/>
        <sz val="10"/>
        <color indexed="10"/>
        <rFont val="Times New Roman"/>
        <family val="1"/>
      </rPr>
      <t>*Điểm công ưu tiên: ĐHYD TPHCM (+10)</t>
    </r>
  </si>
  <si>
    <r>
      <t xml:space="preserve">Đại học
   </t>
    </r>
    <r>
      <rPr>
        <i/>
        <sz val="12"/>
        <color indexed="10"/>
        <rFont val="Times New Roman"/>
        <family val="1"/>
      </rPr>
      <t xml:space="preserve">*Điểm công ưu tiên: 
</t>
    </r>
    <r>
      <rPr>
        <i/>
        <sz val="10"/>
        <color indexed="10"/>
        <rFont val="Times New Roman"/>
        <family val="1"/>
      </rPr>
      <t xml:space="preserve">      - ĐH Quốc tế Miền Đông (+10)
     - ĐHYD TPHCM (+20)
     - ĐH từ các trường nước ngoài (+30)</t>
    </r>
  </si>
  <si>
    <t xml:space="preserve">TOEIC 450; IELTS 4.5; TOEFL iBT 53 </t>
  </si>
  <si>
    <t>TOEIC 600; IELTS 5.5; TOEFL iBT 65</t>
  </si>
  <si>
    <t>TOEIC 800; IELTS 6.5; TOEFL iBT 79</t>
  </si>
  <si>
    <t>TIÊU CHUẨN 4.
Tin học</t>
  </si>
  <si>
    <t>Xử lý văn bản, bảng tính cơ bản</t>
  </si>
  <si>
    <t>Xử lý văn bản, bảng tính nâng cao; sử dụng thành thạo phần mềm trình chiếu</t>
  </si>
  <si>
    <t>Tuân thủ các quy định tại cơ sở làm việc</t>
  </si>
  <si>
    <t>Tuân thủ các quy định hành nghề theo luật định liên quan đến y tế, thực hành điều dưỡng, BYT</t>
  </si>
  <si>
    <t>Thực hiện tốt quy tắc ứng xử của tổ chức và luật định</t>
  </si>
  <si>
    <t>Tuân thủ tiêu chuẩn đạo đức, không đỗ lỗi cho đồng nghiệp, người bệnh đối với các sai sót của cá nhân. Bảo vệ hình ảnh đồng nghiệp trước người bệnh/người nhà và xã hội.</t>
  </si>
  <si>
    <t>Quảng bá hình ảnh người điều dưỡng, thể hiện tác phong và tư cách tốt, trang phục phù hợp, lời nói thuyết phục và cách cư xử đúng mực.</t>
  </si>
  <si>
    <t>TIÊU CHUẨN 7.
Hiểu biết về tình trang sức khỏe và về người bệnh</t>
  </si>
  <si>
    <t>Hiểu về tình trạng sức khỏe của người bệnh, các kết quả cận lâm sàng liên quan để tham khảo trong thực hành chăm sóc</t>
  </si>
  <si>
    <t xml:space="preserve">Phân tích các nhu cầu cần chăm sóc của người bệnh, xác nhận các can thiệp theo kế hoạch và thứ tự ưu tiên </t>
  </si>
  <si>
    <t>Ra quyết định phân cấp chăm sóc cho người bệnh hợp lý, an toàn, hiệu quả; Tiên lượng được sự tiến triển của các can thiệp điều dưỡng sẽ thực hiện</t>
  </si>
  <si>
    <t>Tạo môi trường thoải mái cho NB và khi chăm sóc
Bảo đảm sự kín đáo, riêng tư khi thực hiện kỹ thuật/thủ thuật</t>
  </si>
  <si>
    <t>Áp dụng bằng chứng vào thực hành chăm sóc để tăng cường sự an toàn, chất lượng trong chăm sóc, tiết kiệm được chi phí nằm viện cho người bệnh</t>
  </si>
  <si>
    <t>TIÊU CHUẨN 8.
Năng lực thực hành kỹ thuật chăm sóc</t>
  </si>
  <si>
    <t>Tuân thủ quy trình kỹ thuật trong phạm vi chuyên môn hành nghề (Competent)</t>
  </si>
  <si>
    <t>chọn 1 năng lực phù hợp nhất</t>
  </si>
  <si>
    <t>Thực hiện thành thạo hầu hết tất cả các kỹ thuật điều dưỡng đảm bảo an toàn, chất lượng
Có khả năng hướng dẫn người khác (sinh viên, học viên, nhân viên mới) (Mentor)</t>
  </si>
  <si>
    <t>Hiểu biết sâu về chuyên môn, thực hiện được các kỹ thuật khó, có khả năng phát triển thành chứng cứ trong thực hành hoặc vận dụng những chứng cứ mới vào chăm sóc (Expert)</t>
  </si>
  <si>
    <t>TIÊU CHUẨN 9.
Năng lực dùng thuốc an toàn, hiệu quả</t>
  </si>
  <si>
    <t xml:space="preserve">Tuân thủ quy định khi dùng thuốc; hướng dẫn dùng thuốc đúng, an toàn </t>
  </si>
  <si>
    <t>Hiểu biết và nhận biết được sự tương tác giữa thuốc và thuốc, thuốc và thức ăn</t>
  </si>
  <si>
    <t>Phát hiện và biết cách xử lý ban đầu các dấu hiệu có hại của thuốc và thông tin kịp thời đến BS, điều dưỡng phụ trách thuốc, ĐDTK</t>
  </si>
  <si>
    <t>TIÊU CHUẨN 10.
Năng lực chăm sóc liên tục</t>
  </si>
  <si>
    <t>Kế hoạch chăm sóc được triển khai và người bệnh được theo dõi liên tục</t>
  </si>
  <si>
    <t>Bàn giao tình trạng người bệnh với nhóm chăm sóc kế tiếp đầy đủ, chính xác</t>
  </si>
  <si>
    <t>Phối hợp hiệu quả với người bệnh, người nhà, và đồng nghiệp để đảm bảo người bệnh được theo dõi và chăm sóc liên tục</t>
  </si>
  <si>
    <t>TIÊU CHUẨN 11.
Năng lực thực hiện CPR</t>
  </si>
  <si>
    <t>Thực hiện cấp cứu đạt hiệu quả, phối hợp tốt với các thành viên trong nhóm cấp cứu</t>
  </si>
  <si>
    <t>TIÊU CHUẨN 12.
Năng lực lập kế hoạch chăm sóc và can thiệp điều dưỡng</t>
  </si>
  <si>
    <t>Lập được kế hoạch chăm sóc cho người bệnh có bệnh lý đơn giản, hoặc bệnh phân cấp 2,3; 
Thực hiện các chăm sóc phù hợp, an toàn, hiệu quả</t>
  </si>
  <si>
    <t>Lập được kế hoạch chăm sóc cho người bệnh có bệnh lý phức tạp (nhiều bệnh đi kèm), hoặc bệnh phân cấp 1, bệnh nặng; 
Tổ chức thực hiện các chăm sóc phù hợp, an toàn, hiệu quả</t>
  </si>
  <si>
    <t>Lập kế hoạch người bệnh có nhiều bệnh lý kết hợp và theo dõi việc thực hiện, đánh giá kết quả của quá trình chăm sóc và điều chỉnh kế hoạch chăm sóc phù hợp</t>
  </si>
  <si>
    <t>Cải tiến biểu mẫu ghi chép, đem lại hiệu quả cao, tiết kiệm được thời gian và nhân rộng mô hình cho nhiều khoa áp dụng</t>
  </si>
  <si>
    <t>TIÊU CHUẨN 13.
Thiết lập mối quan hệ với người bệnh, GDSK hiệu quả</t>
  </si>
  <si>
    <t>Tạo dựng niềm tin với người bệnh, người nhà và đồng nghiệp; Dành thời gian cần thiết để giao tiếp với người bệnh, người nhà và thành viên trong nhóm chăm sóc</t>
  </si>
  <si>
    <t>Lắng nghe và giúp người bệnh giải quyết được các lo lắng, băn khoan của người bệnh, người nhà</t>
  </si>
  <si>
    <t>Xây dựng kế hoạch GDSK phù hợp với bệnh tật và văn hóa, tín ngưỡng của cá nhân, gia đình và xã hội; Tài liệu GDSK phù hợp với trình độ của đối tượng</t>
  </si>
  <si>
    <t>Truyền thông tương tác với người bệnh; sử dụng thành thạo các phương tiện sẵn có của bệnh viện; đảm bảo chất lượng truyền thông: chính xác, ngắn gọn, rõ ràng, dễ hiểu, không vi phạm phạm trù văn hóa, tín ngưỡng</t>
  </si>
  <si>
    <t>Biên soạn bài giáo dục sức khỏe cho người bệnh, áp dụng trên quy mô toàn bệnh viện (xác nhận của P.ĐD);
Thực hiện giáo dục sức khỏe cho người bệnh cấp bệnh viện, đem lại hiệu quả tốt</t>
  </si>
  <si>
    <t>TIÊU CHUẨN 14.
Quản lý ghi chép và sử dụng hồ sơ bệnh án hiệu quả</t>
  </si>
  <si>
    <t>Ghi chép hồ sơ điều dưỡng bảo đảm tính khách quan, chính xác, đầy đủ và kịp thời</t>
  </si>
  <si>
    <t>Sử dụng hiệu quả các dữ liệu thu thập được về tình trạng sức khỏe người bệnh trong việc xây dựng kế hoạch chăm sóc</t>
  </si>
  <si>
    <t>Sử dụng công nghệ thông tin 1 cách hiệu quả trong việc tích hợp và cải tiến các biểu mẫu ghi chép</t>
  </si>
  <si>
    <t>Ứng dụng kết quả ghi chép, phân tích, diễn giải, và thực hiện nghiên cứu cải tiến, áp dụng thành công trên nhiều khoa</t>
  </si>
  <si>
    <t>TIÊU CHUẨN 15.
Giao tiếp hiệu quả với người bệnh, người nhà, đồng nghiệp và cấp trên</t>
  </si>
  <si>
    <t>Nhận thức được sự quan trọng trong việc giao tiếp với người bệnh, người nhà và nhân viên;
Thường xuyên sử dụng AIDET trong giao tiếp</t>
  </si>
  <si>
    <t>Chủ động chia sẻ thông tin về quá trình chăm sóc người bệnh với đồng nghiệp;
Thường xuyên ứng dụng hiệu quả SBAR trong bàn giao bệnh, trao đổi thông tin giữa đồng nghiệp</t>
  </si>
  <si>
    <t>Thể hiện lời nói, cử chỉ động viên, khuyến khích người bệnh an tâm điều trị</t>
  </si>
  <si>
    <t>Hợp tác làm việc nhóm và làm việc độc lập hiệu quả;
Chia sẻ thông tin 1 cách hiệu quả;
Thực hiện vai trò đại diện hoặc biện hộ cho người bệnh để đảm bảo các quyền, lợi ích và vì sự an toàn người bệnh.</t>
  </si>
  <si>
    <t>NĂNG LỰC ĐÀO TẠO
 NGHIÊN CỨU KHOA HỌC
THỰC HÀNH DỰA TRÊN CHỨNG CỨ (EBP)</t>
  </si>
  <si>
    <t>TIÊU CHUẨN 16.
Đào tạo</t>
  </si>
  <si>
    <t>Phân tích được mối quan hệ giữa nhu cầu đào tạo với trình độ, vị trí việc làm của đối tượng thuộc phạm vi phụ trách, Xây dựng được kế hoạch đào tạo</t>
  </si>
  <si>
    <t>Đánh giá được hiệu quả đào tạo: thống kê, phân tích, diễn giải và báo cáo theo kế hoạch;
Có chỉ ra những nhược điểm khắc cần khắc phục và đề xuất giải pháp cải tiến chất lượng</t>
  </si>
  <si>
    <t>TIÊU CHUẨN 17.
Nghiên cứu khoa học</t>
  </si>
  <si>
    <r>
      <t>Chủ nhiệm đề tài cấp cơ sở, có công bố trên tạp chí trong nước (</t>
    </r>
    <r>
      <rPr>
        <sz val="12"/>
        <color indexed="8"/>
        <rFont val="Times New Roman"/>
        <family val="1"/>
      </rPr>
      <t>≥2 bài/năm);
Hoặc chủ nhiệm đề tài cấp Thành phố (tính 1 lần)</t>
    </r>
  </si>
  <si>
    <t>Đăng bài báo nước ngoài 
Hoặc chủ nhiệm đề tài cấp nhà nước</t>
  </si>
  <si>
    <t>TIÊU CHUẨN 18.
Thực hành dựa trên bằng chứng</t>
  </si>
  <si>
    <t>Ứng dụng kết quả NCKH vào thực hành chăm sóc, quản lý công việc</t>
  </si>
  <si>
    <t>TIÊU CHUẨN 19.
Quản lý và sử dụng các trang thiết bị, dụng cụ y tế có hiệu quả</t>
  </si>
  <si>
    <t>Hiểu biết về quy trình, quy định quản lý, sử dụng trang thiết bị, dụng cụ y tế, vật tư phục vụ cho chăm sóc</t>
  </si>
  <si>
    <t>Đề xuất các thiết bị, vật tư phù hợp;</t>
  </si>
  <si>
    <t xml:space="preserve"> Lập kế hoạch bảo quản TTB, vật tư 1 cách hiệu quả</t>
  </si>
  <si>
    <t>TIÊU CHUẨN 20.
Sử dụng nguồn tài chính thích hợp để chăm sóc NB hiệu quả</t>
  </si>
  <si>
    <t>TIÊU CHUẨN 21.
Thiết lập môi trường làm việc hiệu quả, an toàn</t>
  </si>
  <si>
    <t>Thiết bị các nội dung liên quan đến sức khỏe nghề nghiệp và luật pháp về an toàn lao động</t>
  </si>
  <si>
    <t>PHÁT TRIỂN 
CHUYÊN MÔN CÁ NHÂN &amp; CHẤT LƯỢNG</t>
  </si>
  <si>
    <t>TIÊU CHUẨN 22.
Duy trì và phát triển năng lực cho cá nhân và đồng nghiệp</t>
  </si>
  <si>
    <t>TIÊU CHUẨN 23.
Cải tiến chất lượng chăm sóc</t>
  </si>
  <si>
    <t>Hiểu được sự cần thiết về các hoạt động đảm bảo chất lượng thông qua nghiên cứu, phản hồi, đánh giá thực hành</t>
  </si>
  <si>
    <t>TIÊU CHUẨN 24.
Quản lý chăm sóc người bệnh</t>
  </si>
  <si>
    <t>Xác định khối lượng công việc và có cách sắp xếp theo thứ tự ưu tiên 1 cách hiệu quả, hợp lý</t>
  </si>
  <si>
    <t>Tổ chức, điều phối, phân công và ủy quyền nhiệm vụ cho các thành viên của nhóm chăm sóc một cách khoa học, hợp lý, hiệu quả</t>
  </si>
  <si>
    <r>
      <t>TIÊU CHUẨN 25.
Sự trải nghiệm nghề nghiệ</t>
    </r>
    <r>
      <rPr>
        <b/>
        <i/>
        <sz val="10"/>
        <color indexed="9"/>
        <rFont val="Times New Roman"/>
        <family val="1"/>
      </rPr>
      <t>p</t>
    </r>
    <r>
      <rPr>
        <b/>
        <i/>
        <sz val="10"/>
        <color indexed="52"/>
        <rFont val="Times New Roman"/>
        <family val="1"/>
      </rPr>
      <t xml:space="preserve"> (theo bằng cấp chuyên môn cao nhất)</t>
    </r>
  </si>
  <si>
    <t>≤ 5 năm</t>
  </si>
  <si>
    <t>6-9 năm</t>
  </si>
  <si>
    <t>TIÊU CHUẨN BẮT BUỘC</t>
  </si>
  <si>
    <t>TIÊU CHUẨN</t>
  </si>
  <si>
    <t>Cấp 1*</t>
  </si>
  <si>
    <t>Cấp 2*</t>
  </si>
  <si>
    <t>Cấp 4</t>
  </si>
  <si>
    <t>Chuyên gia lâm sàng</t>
  </si>
  <si>
    <t>Chuyên gia quản lý</t>
  </si>
  <si>
    <t>Chuyên gia cao cấp</t>
  </si>
  <si>
    <t>5 LĨNH VỰC</t>
  </si>
  <si>
    <r>
      <t xml:space="preserve">TIÊU CHUẨN BẰNG CẤP
</t>
    </r>
    <r>
      <rPr>
        <i/>
        <sz val="11"/>
        <color indexed="8"/>
        <rFont val="Times New Roman"/>
        <family val="1"/>
      </rPr>
      <t>(Chuyên ngành công tác)</t>
    </r>
  </si>
  <si>
    <t>Trung học trở lên</t>
  </si>
  <si>
    <t>Cử nhân trở lên</t>
  </si>
  <si>
    <t>Thạc sĩ hoặc tương đương trở lên</t>
  </si>
  <si>
    <t>TRẢI NGHIỆM NGHỀ NGHIỆP</t>
  </si>
  <si>
    <t>Lâm sàng</t>
  </si>
  <si>
    <t>≤ 18 tháng</t>
  </si>
  <si>
    <t>Trên 18 tháng - 5 năm</t>
  </si>
  <si>
    <t>5 - 10 năm</t>
  </si>
  <si>
    <t>10 năm trở lên</t>
  </si>
  <si>
    <t>05 năm trở lên</t>
  </si>
  <si>
    <t>Giảng dạy/ Quản lý</t>
  </si>
  <si>
    <t xml:space="preserve"> </t>
  </si>
  <si>
    <t>ĐÀO TẠO - NCKH</t>
  </si>
  <si>
    <t>Tham gia giảng dạy ít nhất 2 bài/năm/khoa hoặc 1 bài toàn viện
Chủ nhiệm đề tài cấp cơ sở, đăng tạp chí trong nước</t>
  </si>
  <si>
    <t>Tham gia giảng dạy ít nhất 2 bài/năm/khoa hoặc 1 bài toàn viện
Chủ nhiệm 2 đề cơ sở/ 1 đề tài cấp thành phố, đăng tạp chí trong nước</t>
  </si>
  <si>
    <t>Tham gia giảng dạy ít nhất 2 bài/năm/khoa hoặc 1 bài toàn viện
Chủ nhiệm đề tài cấp nhà nước/đăng bài báo nước ngoài</t>
  </si>
  <si>
    <t>Tham gia giảng dạy ít nhất 2 bài/năm/khoa hoặc 1 bài toàn viện
Chủ nhiệm đề tài cấp nhà nước/đăng bài báo nước ngoài
Có những đóng góp lớn cho ngành ĐDVN</t>
  </si>
  <si>
    <t>ĐIỂM THI TB</t>
  </si>
  <si>
    <r>
      <rPr>
        <sz val="14"/>
        <rFont val="Calibri"/>
        <family val="2"/>
      </rPr>
      <t>≥</t>
    </r>
    <r>
      <rPr>
        <sz val="14"/>
        <rFont val="Times New Roman"/>
        <family val="1"/>
      </rPr>
      <t xml:space="preserve"> 7 Điểm</t>
    </r>
  </si>
  <si>
    <t>Ghi chú: 1* và 2*: Bằng cấp trung học chỉ áp dụng đến năm 2025</t>
  </si>
  <si>
    <t>BẢNG HƯỚNG DẪN ĐÁNH GIÁ NĂNG LỰC ĐIỀU DƯỠNG UMC</t>
  </si>
  <si>
    <t>CẤP 1</t>
  </si>
  <si>
    <t>CẤP 2</t>
  </si>
  <si>
    <t>CẤP 3</t>
  </si>
  <si>
    <t>CẤP 4</t>
  </si>
  <si>
    <t>CẤP 6</t>
  </si>
  <si>
    <t>CẤP 7</t>
  </si>
  <si>
    <t>TIEU CHUẨN BẰNG CẤP</t>
  </si>
  <si>
    <t>THỰC HÀNH CHĂM SÓC NB</t>
  </si>
  <si>
    <t>ĐÀO TẠO &amp; NCKH</t>
  </si>
  <si>
    <t>LÃNH ĐẠO &amp; QUẢN LÝ</t>
  </si>
  <si>
    <t>PHAT TRIỂN CHUYÊN MÔN CÁ NHÂN &amp; CHÂT LƯỢNG</t>
  </si>
  <si>
    <t>ĐIỂM TỔNG (Tối thiểu)</t>
  </si>
  <si>
    <t>ĐIỂM TỐI ĐA</t>
  </si>
  <si>
    <t>Cao đẳng/Trung học ĐD từ ĐH Nguyễn Tất Thành, trường khác</t>
  </si>
  <si>
    <t>TIÊU CHUẨN 2. 
Chứng nhận
 - chứng chỉ</t>
  </si>
  <si>
    <t>Tiêu chí 3</t>
  </si>
  <si>
    <t>Cao đẳng/Trung học ĐD từ trường ĐH/CĐ khác</t>
  </si>
  <si>
    <t>Tiêu chí 4</t>
  </si>
  <si>
    <t>Cao đẳng/Trung học ĐD từ ĐH Quốc tế Hồng Bàng</t>
  </si>
  <si>
    <t>Tiêu chí 5</t>
  </si>
  <si>
    <t>Cao đẳng/Trung học ĐD từ ĐH Y khoa Phạm Ngọc Thạch</t>
  </si>
  <si>
    <t>Cao đẳng/Trung học Điều dưỡng ĐHYD TP HCM</t>
  </si>
  <si>
    <t>ĐH Y Dược Huế, ĐH Y Dược Cần Thơ, ĐH Điều dưỡng Nam Định, ĐH Nguyễn Tất Thành, các Trường ĐH khác</t>
  </si>
  <si>
    <t>Tiêu chí 6</t>
  </si>
  <si>
    <t>ĐH Quốc tế Hồng Bàng</t>
  </si>
  <si>
    <t>ĐH Y Hà Nội, ĐH Y khoa Phạm Ngọc Thạch, ĐH Yersin</t>
  </si>
  <si>
    <t>Đại học Y Dược TPHCM</t>
  </si>
  <si>
    <t>ĐH Điều dưỡng từ Châu Âu (trừ Đông Âu), Mỹ, Canada, New Zealand, Úc, Nhật Bản, Hàn Quốc, Singapore, Đài Loan, Malaysia</t>
  </si>
  <si>
    <t>NĂNG LỰC THỰC HÀNH CHĂM SÓC NGƯỜI BỆNH</t>
  </si>
  <si>
    <t>5 mức độ  của điểm tổng</t>
  </si>
  <si>
    <t>Mức 1</t>
  </si>
  <si>
    <t>Mức 2</t>
  </si>
  <si>
    <t>Mức 3</t>
  </si>
  <si>
    <t>Mức 4</t>
  </si>
  <si>
    <t>Mức 5</t>
  </si>
  <si>
    <r>
      <t xml:space="preserve">Tuân thủ các quy định tại cơ sở làm việc
</t>
    </r>
    <r>
      <rPr>
        <i/>
        <sz val="13"/>
        <color indexed="8"/>
        <rFont val="Times New Roman"/>
        <family val="1"/>
      </rPr>
      <t>- Có mặt tại nơi làm việc
- Tuân thủ thời gian làm việc
- Tuân thủ quy định đồng phục, bảng tên
- Tham gia hội họp, sinh hoạt tập thể 
- Ý thức bảo vệ tài sản tại đơn vị/BV</t>
    </r>
  </si>
  <si>
    <t>4 lần vi phạm
(1 điểm)</t>
  </si>
  <si>
    <t>3 lần vi phạm
(2 điểm)</t>
  </si>
  <si>
    <t>2 lần vi phạm
(3 điểm)</t>
  </si>
  <si>
    <t>1 lần vi phạm
(4 điểm)</t>
  </si>
  <si>
    <t>0 lần vi phạm
(5 điểm)</t>
  </si>
  <si>
    <r>
      <t xml:space="preserve">Tuân thủ các quy định hành nghề theo luật định liên quan đến y tế, thực hành điều dưỡng, BYT 
</t>
    </r>
    <r>
      <rPr>
        <i/>
        <sz val="13"/>
        <color indexed="8"/>
        <rFont val="Times New Roman"/>
        <family val="1"/>
      </rPr>
      <t>(Luật khám chữa bệnh, thông tư 31, thông tư 23/2011, thông tư 51/2017, …)</t>
    </r>
  </si>
  <si>
    <r>
      <t xml:space="preserve">Thực hiện tốt quy tắc ứng xử của tổ chức và luật định 
</t>
    </r>
    <r>
      <rPr>
        <i/>
        <sz val="13"/>
        <color indexed="8"/>
        <rFont val="Times New Roman"/>
        <family val="1"/>
      </rPr>
      <t>- Sự phối hợp, hợp tác với đồng nghiệp
- Ứng xử với đồng nghiệp
- Giao tiếp với khách hàng/NB</t>
    </r>
  </si>
  <si>
    <t>Phối hợp với đồng nghiệp nhưng chưa chủ động hoặc do được yêu cầu
Quan hệ, giao tiếp tốt với đồng nghiệp, NB
(3 điểm)</t>
  </si>
  <si>
    <t>Chủ động phối hợp với đồng nghiệp để giải quyết công việc
Hòa nhã, vui vẻ, sẵn sàng hỗ trợ với đồng nghiệp, khách hàng/NB
(4 điểm)</t>
  </si>
  <si>
    <t>Phối hợp công việc 1 cách nhanh nhẹn, hiệu quả
Ứng xử nhanh nhẹn, giải quyết mọi vấn đề, quan hệ tốt với đồng nghiệp trong và ngoài đơn vị
Giao tiếp tốt với NB, chăm sóc được NB khó tính
(5 điểm)</t>
  </si>
  <si>
    <t xml:space="preserve">Chịu trách nhiệm cá nhân khi đưa ra các quyết định chăm sóc và can thiệp chăm sóc
</t>
  </si>
  <si>
    <t>Tự ra quyết định kế hoạch chăm sóc và can thiệp cho NB
(4 điểm)</t>
  </si>
  <si>
    <t>Có trách nhiệm trong công tác
Tự giác nhận trách nhiệm khi có những sai sót
(5 điểm)</t>
  </si>
  <si>
    <r>
      <t xml:space="preserve">Tuân thủ tiêu chuẩn đạo đức, không đỗ lỗi cho đồng nghiệp, người bệnh đối với các sai sót của cá nhân. Bảo vệ hình ảnh đồng nghiệp trước người bệnh/người nhà và xã hội.
</t>
    </r>
    <r>
      <rPr>
        <i/>
        <sz val="13"/>
        <color indexed="8"/>
        <rFont val="Times New Roman"/>
        <family val="1"/>
      </rPr>
      <t>- Không nhận tiền và lợi ích từ NB
- Tôn trọng và tự nguyện tham gia các hoạt động của Hội ĐD
- Tôn trọng và bảo vệ danh dự, uy tính của đồng nghiệp
- Hợp tác, giúp đỡ và truyền thụ kinh nghiệm cho đồng nghiệp</t>
    </r>
  </si>
  <si>
    <r>
      <t xml:space="preserve">Quảng bá hình ảnh người điều dưỡng, thể hiện tác phong và tư cách tốt, trang phục phù hợp, lời nói thuyết phục và cách cư xử đúng mực.
</t>
    </r>
    <r>
      <rPr>
        <i/>
        <sz val="13"/>
        <color indexed="8"/>
        <rFont val="Times New Roman"/>
        <family val="1"/>
      </rPr>
      <t>- Tác phong và chuẩn mực (sạch sẽ, gọn gàng, tươm tất)
- Tư cách và lời nói (nhanh nhẹn, vui vẻ, than thiện, hòa đồng)
- Không ngừng nâng cao năng lực hành nghề
- Tự tôn nghề nghiệp
- Cam kết với cộng đồng và xã hội</t>
    </r>
  </si>
  <si>
    <r>
      <t xml:space="preserve">Đọc được các kết quả cận lâm sàng
</t>
    </r>
    <r>
      <rPr>
        <sz val="13"/>
        <color indexed="8"/>
        <rFont val="Times New Roman"/>
        <family val="1"/>
      </rPr>
      <t>(8 điểm)</t>
    </r>
  </si>
  <si>
    <r>
      <t xml:space="preserve">Nhận biết được kết quả cận lâm sàng bất thường và có can thiệp kịp thời
</t>
    </r>
    <r>
      <rPr>
        <sz val="13"/>
        <color indexed="8"/>
        <rFont val="Times New Roman"/>
        <family val="1"/>
      </rPr>
      <t>(10 điểm)</t>
    </r>
  </si>
  <si>
    <t>Thực hiện đầy đủ các bước QTKTĐD nhưng thỉnh thoảng còn cần sự hỗ trợ, hướng dẫn 
(20 điểm)</t>
  </si>
  <si>
    <t>Lựa chọn/chuẩn bị dụng cụ phù hợp; Thực hiện đầy đủ, đúng QTKTĐD cơ bản và chuyên khoa; Kiểm soát được thời gian thực hiện phù hợp; Không có thao tác thừa
(45 điểm)</t>
  </si>
  <si>
    <t>Nắm vững lý thuyết cơ bản, áp dụng được lý thuyết vào thực hành nhưng cần có sự thảo luận, hướng dẫn trong các tình huống đặc biệt
( 50 điểm)</t>
  </si>
  <si>
    <t>Nắm vững lý thuyết cơ bản, áp dụng được vào thực hành; Giao tiếp hiệu quả với NB (AIDET); Kết hợp GDSK, truyền đạt thông tin rõ ràng, chính xác 
(55 điểm)</t>
  </si>
  <si>
    <t>Vận dụng được lý thuyết vào thực hành, lý giải được các yêu cầu QTKT, Có khả năng hướng dẫn, giám sát được điều dưỡng khác, sinh viên.
(60 điểm)</t>
  </si>
  <si>
    <t>Chủ động đề xuất cải tiến trong kỹ thuật chăm sóc, được thông qua và áp dụng tại khoa
(65 điểm)</t>
  </si>
  <si>
    <t>Có SKCT trong QTKT được công nhận và áp dụng toàn BV
(70 điểm)</t>
  </si>
  <si>
    <t>Áp dụng kết quả NC đã công bố vào kỹ thuật chăm sóc, đánh giá kết quả/hiệu quả áp dụng được công nhận và công bố
(75 điểm)</t>
  </si>
  <si>
    <t>Có công trình nghiên cứu về QTKT được công nhận và ứng dụng rộng rãi tại bệnh viện và bệnh viện khác
(80 điểm)</t>
  </si>
  <si>
    <r>
      <t xml:space="preserve">Thực hiện 5/10 nội dung </t>
    </r>
    <r>
      <rPr>
        <i/>
        <sz val="13"/>
        <color indexed="8"/>
        <rFont val="Times New Roman"/>
        <family val="1"/>
      </rPr>
      <t>(Thực hiện 5 đúng tại 2 thời điểm bắt buộc thực hiện)
(2 điểm)</t>
    </r>
  </si>
  <si>
    <r>
      <t xml:space="preserve">Thực hiện 4/10 nội dung </t>
    </r>
    <r>
      <rPr>
        <i/>
        <sz val="13"/>
        <color indexed="8"/>
        <rFont val="Times New Roman"/>
        <family val="1"/>
      </rPr>
      <t>(Thực hiện 5 đúng tại 2 thời điểm bắt buộc thực hiện)
(4 điểm)</t>
    </r>
  </si>
  <si>
    <r>
      <t xml:space="preserve">Thực hiện 3/10 nội dung </t>
    </r>
    <r>
      <rPr>
        <i/>
        <sz val="13"/>
        <color indexed="8"/>
        <rFont val="Times New Roman"/>
        <family val="1"/>
      </rPr>
      <t>(Thực hiện 5 đúng tại 2 thời điểm bắt buộc thực hiện)
(6 điểm)</t>
    </r>
  </si>
  <si>
    <r>
      <t xml:space="preserve">Thực hiện 2/10 nội dung </t>
    </r>
    <r>
      <rPr>
        <i/>
        <sz val="13"/>
        <color indexed="8"/>
        <rFont val="Times New Roman"/>
        <family val="1"/>
      </rPr>
      <t>(Thực hiện 5 đúng tại 2 thời điểm bắt buộc thực hiện)
(8 điểm)</t>
    </r>
  </si>
  <si>
    <r>
      <t xml:space="preserve">Thực hiện 1/10 nội dung 
</t>
    </r>
    <r>
      <rPr>
        <i/>
        <sz val="13"/>
        <color indexed="8"/>
        <rFont val="Times New Roman"/>
        <family val="1"/>
      </rPr>
      <t>(Thực hiện 5 đúng tại 2 thời điểm bắt buộc thực hiện)
(10 điểm)</t>
    </r>
  </si>
  <si>
    <r>
      <t xml:space="preserve">Trả lời được </t>
    </r>
    <r>
      <rPr>
        <sz val="13"/>
        <color indexed="8"/>
        <rFont val="Calibri"/>
        <family val="2"/>
      </rPr>
      <t>≤</t>
    </r>
    <r>
      <rPr>
        <sz val="13"/>
        <color indexed="8"/>
        <rFont val="Times New Roman"/>
        <family val="1"/>
      </rPr>
      <t xml:space="preserve"> 40% 
(12 điểm)</t>
    </r>
  </si>
  <si>
    <t>Trả lời được 41 - 50%
(14 điểm)</t>
  </si>
  <si>
    <t>Trả lời được 51 - 60%
(16 điểm)</t>
  </si>
  <si>
    <t>Trả lời được 61 - 70%
(18 điểm)</t>
  </si>
  <si>
    <r>
      <t xml:space="preserve">Trả lời được </t>
    </r>
    <r>
      <rPr>
        <sz val="13"/>
        <color indexed="8"/>
        <rFont val="Calibri"/>
        <family val="2"/>
      </rPr>
      <t>≥</t>
    </r>
    <r>
      <rPr>
        <sz val="13"/>
        <color indexed="8"/>
        <rFont val="Times New Roman"/>
        <family val="1"/>
      </rPr>
      <t xml:space="preserve"> 70%
(20 điểm)</t>
    </r>
  </si>
  <si>
    <t>Nhận biết và cảnh báo kịp thời 
(26 điểm)</t>
  </si>
  <si>
    <t>Nhận biết, cảnh báo và xử trí kịp thời nhưng chưa đầy đủ
(28 điểm)</t>
  </si>
  <si>
    <t>Nhận biết, cảnh báo và xử trí kịp thời và đầy đủ
(30 điểm)</t>
  </si>
  <si>
    <r>
      <t xml:space="preserve">Quan sát, đánh giá hoàn cảnh và đảm bảo an toàn trong tình huống cấp cứu NB; </t>
    </r>
    <r>
      <rPr>
        <b/>
        <sz val="13"/>
        <color indexed="8"/>
        <rFont val="Times New Roman"/>
        <family val="1"/>
      </rPr>
      <t>(2 điểm)</t>
    </r>
  </si>
  <si>
    <t>Quan sát, đánh giá hoàn cảnh và đảm bảo an toàn trong tình huống cấp cứu NB 
Chuyển NB đến khu vực an toàn hoặc đảm bào khu vực an toàn cho NB &amp; NVYT.
(4 điểm)</t>
  </si>
  <si>
    <t>Quan sát, đánh giá hoàn cảnh và đảm bảo an toàn trong tình huống cấp cứu NB 
Chuyển NB đến khu vực an toàn hoặc đảm bào khu vực an toàn cho NB &amp; NVYT.
Có gọi hỗ trợ hoặc kích họạt hệ thống hỗ trợ cấp cứu
 (6 điểm)</t>
  </si>
  <si>
    <t>Quan sát, đánh giá hoàn cảnh và đảm bảo an toàn trong tình huống cấp cứu NB 
Chuyển NB đến khu vực an toàn hoặc đảm bào khu vực an toàn cho NB &amp; NVYT.
Có gọi hỗ trợ hoặc kích họạt hệ thống hỗ trợ cấp cứu
Thực hiện được các nguyên tắc đảm bảo an toàn cho NB &amp; NVYT. 
 (8 điểm)</t>
  </si>
  <si>
    <t>Quan sát, đánh giá hoàn cảnh và đảm bảo an toàn trong tình huống cấp cứu NB 
Chuyển NB đến khu vực an toàn hoặc đảm bào khu vực an toàn cho NB &amp; NVYT.
Có gọi hỗ trợ hoặc kích họạt hệ thống hỗ trợ cấp cứu
Thực hiện được các nguyên tắc đảm bảo an toàn cho NB &amp; NVYT. 
Đề xuất hay thực hiện các hành động phù hợp liên quan tình huống..
(10 điểm)</t>
  </si>
  <si>
    <r>
      <t xml:space="preserve">Đánh giá được tình trạng ngưng hô hấp tuần hoàn ở người bệnh;
Cần sự hướng dẫn liên tục khi:
- xác định được vị trí ấn tim và thể hiện kỹ thuật hỗ trợ thông khí cho NB;
- Thực hiện được ấn tim: thông khí cho NB, nhưng kỹ thuật chưa chuẩn xác.
</t>
    </r>
    <r>
      <rPr>
        <sz val="13"/>
        <color indexed="8"/>
        <rFont val="Times New Roman"/>
        <family val="1"/>
      </rPr>
      <t>(14 điểm)</t>
    </r>
  </si>
  <si>
    <r>
      <t xml:space="preserve">Đánh giá được tình trạng ngưng hô hấp tuần hoàn ở người bệnh;
Thỉnh thoảng cần sự hỗ trợ / nhắc nhở khi :
- xác định được vị trí ấn tim và thể hiện kỹ thuật hỗ trợ thông khí cho NB;
- Thực hiện được ấn tim : thông khí cho NB đảm bảo kỹ thuật chuẩn xác.
</t>
    </r>
    <r>
      <rPr>
        <sz val="13"/>
        <color indexed="8"/>
        <rFont val="Times New Roman"/>
        <family val="1"/>
      </rPr>
      <t>(16 điểm)</t>
    </r>
  </si>
  <si>
    <r>
      <t xml:space="preserve">Đánh giá được tình trạng ngưng hô hấp tuần hoàn ở người bệnh;
Thực hiện độc lập và đầy đủ:
- xác định được vị trí ấn tim;
- thể hiện kỹ thuật hỗ trợ thông khí cho NB;
- Thực hiện được ấn tim : thông khí cho NB đảm bảo đúng tỉ lệ, tần số thực hiện
- Đảm bảo kỹ thuật chuẩn xác.
Chuẩn bị được các dụng cụ hỗ trợ đường thở nâng cao, máy sốc điện.
</t>
    </r>
    <r>
      <rPr>
        <sz val="13"/>
        <color indexed="8"/>
        <rFont val="Times New Roman"/>
        <family val="1"/>
      </rPr>
      <t>(18 điểm)</t>
    </r>
  </si>
  <si>
    <r>
      <t xml:space="preserve">Đánh giá được tình trạng ngưng hô hấp tuần hoàn ở người bệnh;
Thực hiện chuẩn xác  và đầy đủ:
- xác định được vị trí ấn tim;
- thể hiện kỹ thuật hỗ trợ thông khí cho NB;
- Thực hiện được ấn tim : thông khí cho NB đảm bảo đúng tỉ lệ, tần số thực hiện
Chuẩn bị được các dụng cụ hỗ trợ đường thở nâng cao;
Biết được các quy tắc an toàn khi sử dụng máy sốc điện;
Biết xác định các nguồn lực cần thiết chuẩn bị sẵn sàng cho tình huống cấp cứu
</t>
    </r>
    <r>
      <rPr>
        <sz val="13"/>
        <color indexed="8"/>
        <rFont val="Times New Roman"/>
        <family val="1"/>
      </rPr>
      <t>(20 điểm)</t>
    </r>
  </si>
  <si>
    <t>Đồng phục: đầy đủ, nguyên vẹn, sạch, thẳng.                        
Thái độ: Hòa nhã, nhiệt tình.                            Sử dụng kính ngữ: xưng hô phù hợp.                Chủ động cung cấp thông tin cần thiết, phù hợp cho NB/NN           
Tỉ lệ thực hiện đạt &lt;50%
(2 điểm)</t>
  </si>
  <si>
    <t>Đồng phục: đầy đủ, nguyên vẹn, sạch, thẳng.                         
Thái độ: Hòa nhã, nhiệt tình.                               Sử dụng kính ngữ: xưng hô phù hợp.               Chủ động cung cấp thông tin cần thiết, phù hợp cho NB/NN           
Tỉ lệ thực hiện đạt 50- 59% 
(4 điểm)</t>
  </si>
  <si>
    <t>Đồng phục: đầy đủ, nguyên vẹn, sạch, thẳng.                         
Thái độ: Hòa nhã, nhiệt tình.                            Sử dụng kính ngữ: xưng hô phù hợp.               Chủ động cung cấp thông tin cần thiết, phù hợp cho NB/NN          
Tỉ lệ thực hiện đạt 60- 74%
(6 điểm)</t>
  </si>
  <si>
    <t>Đồng phục: đầy đủ, nguyên vẹn, sạch, thẳng.                         
Thái độ: Hòa nhã, nhiệt tình.                             Sử dụng kính ngữ: xưng hô phù hợp.               Chủ động cung cấp thông tin cần thiết, phù hợp cho NB/NN          
Tỉ lệ thực hiện đạt 75 - 89%
(8 điểm)</t>
  </si>
  <si>
    <t>Đồng phục: đầy đủ, nguyên vẹn, sạch, thẳng.                         
Thái độ: Hòa nhã, nhiệt tình.                            Sử dụng kính ngữ: xưng hô phù hợp.               Chủ động cung cấp thông tin cần thiết, phù hợp cho NB/NN           
Tỉ lệ thực hiện đạt ≥ 90%
(10 điểm)</t>
  </si>
  <si>
    <t>Có tập trung chú ý lắng nghe khi NB/NN nói.                             
Đưa ra được những phản hồi phù hợp, trấn an được NB.               
Tỉ lệ thực hiện đạt &lt;50% 
(12 điểm)</t>
  </si>
  <si>
    <t>Có tập trung chú ý lắng nghe khi NB/NN nói.                             
Đưa ra được những phản hồi phù hợp, trấn an được NB.                 
Tỉ lệ thực hiện đạt 50%  -59%
(14 điểm)</t>
  </si>
  <si>
    <t xml:space="preserve">Có tập trung chú ý lắng nghe khi NB/NN nói.                             
Đưa ra được những phản hồi phù hợp, trấn an được NB.                 
Tỉ lệ thực hiện đạt 60 - 74% 
(16 điểm)     </t>
  </si>
  <si>
    <t>Có tập trung chú ý lắng nghe khi NB/NN nói.                             
Đưa ra được những phản hồi phù hợp, trấn an được NB.                 
Tỉ lệ thực hiện đạt 75 - 89%      
(18 điểm)</t>
  </si>
  <si>
    <t xml:space="preserve">Có tập trung chú ý lắng nghe khi NB/NN nói.                             
Đưa ra được những phản hồi phù hợp, trấn an được NB.                 
Tỉ lệ thực hiện đạt ≥ 90%  
(20 điểm)    </t>
  </si>
  <si>
    <t>Có hỏi NB/NN (đánh giá nhu cầu GDSK) trước khi GDSK; Dừng lại đặt câu hỏi hoặc chờ NB/NN đưa ra ý kiến/câu hỏi; Đề nghị NB/NN nhắc lại những thông tin cần thiết; Sử dụng từ ngữ chính xác, ngắn gọn, rõ ràng, dễ hiểu; Tỉ lệ &lt;50%;                       
Sử dụng các phương tiện truyền thông sẵn có dưới sự hõ trợ thường xuyên
(32 điểm)</t>
  </si>
  <si>
    <t>Có hỏi NB/NN (đánh giá nhu cầu GDSK) trước khi GDSK; Dừng lại đặt câu hỏi hoặc chờ NB/NN đưa ra ý kiến/câu hỏi; Đề nghị NB/NN nhắc lại những thông tin cần thiết; Sử dụng từ ngữ chính xác, ngắn gọn, rõ ràng, dễ hiểu; Tỉ lệ 50-59%;                    
Sử dụng các phương tiện truyền thông sẵn có dưới sự hõ trợ thường xuyên
(34 điểm)</t>
  </si>
  <si>
    <t>Có hỏi NB/NN (đánh giá nhu cầu GDSK) trước khi GDSK; Dừng lại đặt câu hỏi hoặc chờ NB/NN đưa ra ý kiến/câu hỏi; Đề nghị NB/NN nhắc lại những thông tin cần thiết; Sử dụng từ ngữ chính xác, ngắn gọn, rõ ràng, dễ hiểu; Tỉ lệ 60-74%;                    
Sử dụng các phương tiện truyền thông sắn có, thỉnh thoảng cần sự hỗ trợ
(36 điểm)</t>
  </si>
  <si>
    <t>Có hỏi NB/NN (đánh giá nhu cầu GDSK) trước khi GDSK; Dừng lại đặt câu hỏi hoặc chờ NB/NN đưa ra ý kiến/câu hỏi; Đề nghị NB/NN nhắc lại những thông tin cần thiết; Sử dụng từ ngữ chính xác, ngắn gọn, rõ ràng, dễ hiểu; Tỉ lệ 75 - 89%;                                  Sử dụng thành thạo các phương tiện truyền thông sẵn có.
(38 điểm)</t>
  </si>
  <si>
    <t xml:space="preserve">Có hỏi NB/NN (đánh giá nhu cầu GDSK) trước khi GDSK; Dừng lại đặt câu hỏi hoặc chờ NB/NN đưa ra ý kiến/câu hỏi; Đề nghị NB/NN nhắc lại những thông tin cần thiết; Sử dụng từ ngữ chính xác, ngắn gọn, rõ ràng, dễ hiểu; Tỉ lệ ≥ 90%;             
Sử dụng thành thạo và có khả năng hướng dẫn, hỗ trợ đồng nghiệp sử dụng các phương tiện truyền thông
(40 điểm) </t>
  </si>
  <si>
    <t>Cần sự hỗ trợ thường xuyên của đồng nghiệp (&gt;60%) để biên soạn bài GDSK
(44 điểm)</t>
  </si>
  <si>
    <t>Thỉnh thoảng cần sự hỗ trợ của đồng nhiệp (30 - 59%) để biên soạn được bài GDSK
(46 điểm)</t>
  </si>
  <si>
    <t>Chủ động phối hợp đồng nghiệp để soạn bài GDSK
(48 điểm)</t>
  </si>
  <si>
    <t>Có 1 bài GDSK biên soạn độc lập đã được công nhận
(50 điểm)</t>
  </si>
  <si>
    <r>
      <t xml:space="preserve">- Phân tích được mối quan hệ giữa nhu cầu đào tạo với trình độ, vị trí việc làm của đối tượng thuộc phạm vi phụ trách </t>
    </r>
    <r>
      <rPr>
        <b/>
        <sz val="13"/>
        <color indexed="8"/>
        <rFont val="Times New Roman"/>
        <family val="1"/>
      </rPr>
      <t>(5 điểm)</t>
    </r>
    <r>
      <rPr>
        <sz val="13"/>
        <color indexed="8"/>
        <rFont val="Times New Roman"/>
        <family val="1"/>
      </rPr>
      <t xml:space="preserve">
</t>
    </r>
  </si>
  <si>
    <r>
      <t xml:space="preserve">Cần sự hướng dẫn trong tìm hiểu, phân tích mối tương quan giữa nhu cầu đào tạo với trình độ, vị trí làm việc;
</t>
    </r>
    <r>
      <rPr>
        <sz val="13"/>
        <color indexed="8"/>
        <rFont val="Times New Roman"/>
        <family val="1"/>
      </rPr>
      <t>(3 điểm)</t>
    </r>
  </si>
  <si>
    <r>
      <t xml:space="preserve">Thực hiện và báo cáo kết quả khảo sát, nghiên cứu mối quan hệ giữa nhu cầu đào tạo với trình độ, vị trí làm việc
</t>
    </r>
    <r>
      <rPr>
        <sz val="13"/>
        <color indexed="8"/>
        <rFont val="Times New Roman"/>
        <family val="1"/>
      </rPr>
      <t>(4 điểm)</t>
    </r>
  </si>
  <si>
    <r>
      <t xml:space="preserve">Thực hiện và báo cáo kết quả khảo sát, nghiên cứu mối quan hệ giữa nhu cầu đào tạo với trình độ, vị trí làm việc;
Đề xuất được các giải pháp dựa trên kết quả báo cáo.
</t>
    </r>
    <r>
      <rPr>
        <sz val="13"/>
        <color indexed="8"/>
        <rFont val="Times New Roman"/>
        <family val="1"/>
      </rPr>
      <t>(5 điểm)</t>
    </r>
  </si>
  <si>
    <t>- Xây dựng được kế hoạch đào tạo (5 điểm)</t>
  </si>
  <si>
    <r>
      <t xml:space="preserve">Cần sự hỗ trợ trong xây dựng kế hoạch đào tạo;
Nội dung đào tạo chỉ đáp ứng được 2 trong các tiêu chí sau:
- Mục tiêu cụ thể
- Đo lường được
- Có thể đạt được
- Thực tế
</t>
    </r>
    <r>
      <rPr>
        <sz val="13"/>
        <color indexed="8"/>
        <rFont val="Times New Roman"/>
        <family val="1"/>
      </rPr>
      <t>(3 điểm)</t>
    </r>
  </si>
  <si>
    <r>
      <t xml:space="preserve">Độc lập xây dựng kế hoạch đào tạo. 
Nội dung đào tạo đáp ứng được các tiêu chí sau:
- Mục tiêu cụ thể
- Đo lường được
- Có thể đạt được
- Thực tế
</t>
    </r>
    <r>
      <rPr>
        <sz val="13"/>
        <color indexed="8"/>
        <rFont val="Times New Roman"/>
        <family val="1"/>
      </rPr>
      <t>(4 điểm)</t>
    </r>
  </si>
  <si>
    <r>
      <t xml:space="preserve">Lập kế hoạch đào tạo đáp ứng 
đáp ứng được các tiêu chí sau:
- Mục tiêu cụ thể
- Đo lường được
- Có thể đạt được
- Thực tế
Có phân tích, diễn giải các nội dung kế hoạch đào tạo dựa vào bằng chứng
</t>
    </r>
    <r>
      <rPr>
        <sz val="13"/>
        <color indexed="8"/>
        <rFont val="Times New Roman"/>
        <family val="1"/>
      </rPr>
      <t xml:space="preserve">(5 điểm)
</t>
    </r>
  </si>
  <si>
    <r>
      <t xml:space="preserve">Cần sự hỗ trợ trong xây dựng phương pháp đào tạo phù hợp với yêu cầu của nội dung đào tạo.
</t>
    </r>
    <r>
      <rPr>
        <sz val="13"/>
        <color indexed="8"/>
        <rFont val="Times New Roman"/>
        <family val="1"/>
      </rPr>
      <t xml:space="preserve"> (6 điểm)  
</t>
    </r>
  </si>
  <si>
    <r>
      <t xml:space="preserve">Có phương pháp đào tạo phù hợp với nội dung, yêu cầu của nội dung đào tạo.
Vận dụng được phương pháp đào tạo phù hợp với hoàn cảnh đào tạo. </t>
    </r>
    <r>
      <rPr>
        <sz val="13"/>
        <color indexed="8"/>
        <rFont val="Times New Roman"/>
        <family val="1"/>
      </rPr>
      <t>(8 điểm)</t>
    </r>
  </si>
  <si>
    <r>
      <t xml:space="preserve">Có sự thay đổi thường xuyên các chương trình, nội dung đào tạo hàng năm
Vận dụng đa dạng trên ba phương pháp đào tạo phù hợp với yêu cầu của nội dung đào tạo  </t>
    </r>
    <r>
      <rPr>
        <sz val="13"/>
        <color indexed="8"/>
        <rFont val="Times New Roman"/>
        <family val="1"/>
      </rPr>
      <t>(10 điểm)</t>
    </r>
  </si>
  <si>
    <t>Tổ chức thực hiện được kế hoạch đào tạo và tham gia đào tạo theo đúng tiến độ và đạt chất lượng:
-Kế hoạch đào tạo, tham gia đào tạo theo đúng tiến độ (5đ)
-Kế hoạch đào tạo đạt chất lượng (5đ)</t>
  </si>
  <si>
    <r>
      <t xml:space="preserve">Cần sự hỗ trợ, hoặc giám sát tiến độ thực hiện kế hoạch đào tạo;
Có  dưới 2 chương trình  đào tạo trễ hạn dưới 1 tháng so với kế hoạch năm
</t>
    </r>
    <r>
      <rPr>
        <sz val="13"/>
        <color indexed="8"/>
        <rFont val="Times New Roman"/>
        <family val="1"/>
      </rPr>
      <t>(3 điểm)</t>
    </r>
  </si>
  <si>
    <r>
      <t xml:space="preserve">Độc lập theo dõi kế hoạch đào tạo, tổ chức đào tạo đúng tiến độ;
Không có chương trình trễ hạn.
</t>
    </r>
    <r>
      <rPr>
        <sz val="13"/>
        <color indexed="8"/>
        <rFont val="Times New Roman"/>
        <family val="1"/>
      </rPr>
      <t>(4 điểm)</t>
    </r>
  </si>
  <si>
    <r>
      <t xml:space="preserve">Biết phối hợp nhiều phương pháp, kỹ năng theo dõi kế hoạch đào tạo, tổ chức đào tạo đúng tiến độ;
Hoàn thành các nội dung, chương trình đào tạo sớm hơn tiến độ trong kế hoạch đề ra
</t>
    </r>
    <r>
      <rPr>
        <sz val="13"/>
        <color indexed="8"/>
        <rFont val="Times New Roman"/>
        <family val="1"/>
      </rPr>
      <t>(5 điểm)</t>
    </r>
  </si>
  <si>
    <r>
      <t xml:space="preserve">Cần hướng dẫn trong xây dựng nội dung kế hoạch, chương trình đào tạo để đạt yêu cầu thẩm định nội dung. 
</t>
    </r>
    <r>
      <rPr>
        <sz val="13"/>
        <color indexed="8"/>
        <rFont val="Times New Roman"/>
        <family val="1"/>
      </rPr>
      <t>(3 điểm)</t>
    </r>
  </si>
  <si>
    <r>
      <t xml:space="preserve">Kế hoạch, chương trình đào tạo đạt yêu cầu thẩm định nội dung. 
Có công cụ, phương pháp đánh giá chất lượng thông qua đo lường kiến thức / thái độ / kỹ năng của học viên sau đào tạo 
</t>
    </r>
    <r>
      <rPr>
        <sz val="13"/>
        <color indexed="8"/>
        <rFont val="Times New Roman"/>
        <family val="1"/>
      </rPr>
      <t>(4 điểm)</t>
    </r>
  </si>
  <si>
    <r>
      <t xml:space="preserve">Kế hoạch, chương trình đào tạo đạt yêu cầu thẩm định nội dung. 
Có đánh giá chất lượng và báo cáo kết quả thông qua đo lường kiến thức / thái độ / kỹ năng của học viên sau đào tạo 
Kế hoạch đào tạo có tác động thay đổi đến kiến thức / thực hành / trình độ của nguồn nhân lực 
</t>
    </r>
    <r>
      <rPr>
        <sz val="13"/>
        <color indexed="8"/>
        <rFont val="Times New Roman"/>
        <family val="1"/>
      </rPr>
      <t>(5 điểm)</t>
    </r>
  </si>
  <si>
    <r>
      <t xml:space="preserve">Đánh giá được hiệu quả đào tạo: thống kê, phân tích, diễn giải và báo cáo theo kế hoạch;
Có chỉ ra những nhược điểm khắc cần khắc phục và đề xuất giải pháp cải tiến chất lượng
</t>
    </r>
    <r>
      <rPr>
        <i/>
        <sz val="13"/>
        <color indexed="8"/>
        <rFont val="Times New Roman"/>
        <family val="1"/>
      </rPr>
      <t>(-Thống kê, phân tích, diễn giải và báo cáo theo kế hoạch (5đ)
-Cải tiến chất lượng đào tạo (5đ))</t>
    </r>
  </si>
  <si>
    <r>
      <t xml:space="preserve">Cần hướng dẫn trong đánh giá, đo lường hiệu quả trước &amp; sau đào tạo;
</t>
    </r>
    <r>
      <rPr>
        <sz val="13"/>
        <color indexed="8"/>
        <rFont val="Times New Roman"/>
        <family val="1"/>
      </rPr>
      <t>(3 điểm)</t>
    </r>
  </si>
  <si>
    <r>
      <t xml:space="preserve">Độc lập đánh giá, đo lường và báo cáo hiệu quả trước &amp; sau đào tạo;
Cần sự hướng dẫn trong phân tích, diễn giải kết quả đo lường.
</t>
    </r>
    <r>
      <rPr>
        <sz val="13"/>
        <color indexed="8"/>
        <rFont val="Times New Roman"/>
        <family val="1"/>
      </rPr>
      <t>(4 điểm)</t>
    </r>
  </si>
  <si>
    <r>
      <t xml:space="preserve">Biết cách vận dụng nhiều kỹ năng đánh giá, đo lường và báo cáo hiệu quả trước &amp; sau đào tạo;
Đưa ra được phân tích, diễn giải kết quả đo lường, thống kê
</t>
    </r>
    <r>
      <rPr>
        <sz val="13"/>
        <color indexed="8"/>
        <rFont val="Arial"/>
        <family val="2"/>
      </rPr>
      <t>(5 điểm)</t>
    </r>
  </si>
  <si>
    <r>
      <t xml:space="preserve">Đưa ra được điểm yếu từ kết quả đánh giá.
Cần hướng dẫn trong lập kế hoạch cải tiến chất lượng đào tạo.
</t>
    </r>
    <r>
      <rPr>
        <sz val="13"/>
        <color indexed="8"/>
        <rFont val="Times New Roman"/>
        <family val="1"/>
      </rPr>
      <t>(3 điểm)</t>
    </r>
  </si>
  <si>
    <r>
      <t xml:space="preserve">Diễn giải, phân tích được điểm mạnh và điểm yếu từ kết quả đánh giá.
Lập kế hoạch cải tiến chất lượng đào tạo.
</t>
    </r>
    <r>
      <rPr>
        <sz val="13"/>
        <color indexed="8"/>
        <rFont val="Times New Roman"/>
        <family val="1"/>
      </rPr>
      <t>(4 điểm)</t>
    </r>
  </si>
  <si>
    <r>
      <t xml:space="preserve">Phân tích được điểm mạnh  và điểm yếu từ kết quả đánh giá đào tạo.
Thực hiện kế hoạch, đánh giá và báo cáo kết quả cải tiến chất lượng đào tạo.
</t>
    </r>
    <r>
      <rPr>
        <sz val="13"/>
        <color indexed="8"/>
        <rFont val="Arial"/>
        <family val="2"/>
      </rPr>
      <t>(5 điểm)</t>
    </r>
  </si>
  <si>
    <r>
      <t>Cần sự hướng dẫn liên tục, thường xuyên trong việc tìm, xây dựng công cụ, phương pháp đánh giá kiến thức của học viên.</t>
    </r>
    <r>
      <rPr>
        <sz val="13"/>
        <color indexed="8"/>
        <rFont val="Times New Roman"/>
        <family val="1"/>
      </rPr>
      <t xml:space="preserve">
(3 điểm)</t>
    </r>
  </si>
  <si>
    <r>
      <t xml:space="preserve">Độc lập đưa ra được công cụ, phương pháp trong đánh giá kiến thức của học viên, viên chức trước &amp; sau đào tạo. 
Ứng dụng một phương pháp, công cụ đánh giá kiến thức học viên.
</t>
    </r>
    <r>
      <rPr>
        <sz val="13"/>
        <color indexed="8"/>
        <rFont val="Times New Roman"/>
        <family val="1"/>
      </rPr>
      <t>(4 điểm)</t>
    </r>
  </si>
  <si>
    <r>
      <t xml:space="preserve">Tự tin, thành thạo trong  áp dụng công cụ, phương pháp đánh giá kiến thức của học viên, viên chức trước &amp; sau đào tạo.
Vận dụng trên hai công cụ đánh giá, đo lường kiến thức học viên.
Giải thích được cơ sở khoa học cho phương pháp đánh giá.
</t>
    </r>
    <r>
      <rPr>
        <sz val="13"/>
        <color indexed="8"/>
        <rFont val="Times New Roman"/>
        <family val="1"/>
      </rPr>
      <t>(5 điểm)</t>
    </r>
  </si>
  <si>
    <r>
      <t xml:space="preserve">có tham gia  </t>
    </r>
    <r>
      <rPr>
        <sz val="13"/>
        <rFont val="Wingdings 3"/>
        <family val="1"/>
        <charset val="2"/>
      </rPr>
      <t>"</t>
    </r>
    <r>
      <rPr>
        <sz val="13"/>
        <rFont val="Times New Roman"/>
        <family val="1"/>
      </rPr>
      <t xml:space="preserve"> đạt 5 điểm</t>
    </r>
  </si>
  <si>
    <r>
      <t xml:space="preserve">Có tham gia NCKH với vai trò đối tượng lấy mẫu
</t>
    </r>
    <r>
      <rPr>
        <sz val="13"/>
        <color indexed="8"/>
        <rFont val="Times New Roman"/>
        <family val="1"/>
      </rPr>
      <t>(2 điểm)</t>
    </r>
  </si>
  <si>
    <r>
      <t xml:space="preserve">Có được đào tạo cơ bản về NCKH và tham gia NCKH với vai trò người đi lấy mẫu
</t>
    </r>
    <r>
      <rPr>
        <sz val="13"/>
        <color indexed="8"/>
        <rFont val="Times New Roman"/>
        <family val="1"/>
      </rPr>
      <t>(6 điểm)</t>
    </r>
  </si>
  <si>
    <r>
      <t xml:space="preserve">Có chứng chỉ/ chứng nhận đào tạo chuyên về NCKH và là thành viên của nhóm thực hiện đề tài NCKH 
</t>
    </r>
    <r>
      <rPr>
        <sz val="13"/>
        <color indexed="8"/>
        <rFont val="Times New Roman"/>
        <family val="1"/>
      </rPr>
      <t>(8 điểm)</t>
    </r>
  </si>
  <si>
    <r>
      <t xml:space="preserve">Tham gia viết đề cương nghiên cứu khoa học
</t>
    </r>
    <r>
      <rPr>
        <sz val="13"/>
        <color indexed="8"/>
        <rFont val="Times New Roman"/>
        <family val="1"/>
      </rPr>
      <t>(10 điểm)</t>
    </r>
  </si>
  <si>
    <r>
      <t xml:space="preserve">Biết cách tìm và trích dẫn tài liệu liên quan đến nghiên cứu có giá trị
</t>
    </r>
    <r>
      <rPr>
        <sz val="13"/>
        <color indexed="8"/>
        <rFont val="Times New Roman"/>
        <family val="1"/>
      </rPr>
      <t>(4 điểm)</t>
    </r>
  </si>
  <si>
    <r>
      <t xml:space="preserve">Biết cách tìm và trích dẫn tài liệu liên quan đến nghiên cứu có giá trị
Biết sử dụng phần mềm nhập liệu và phân tích số liệu (SPSS, STATA, R, …)  nhưng cần sử hỗ trợ 
</t>
    </r>
    <r>
      <rPr>
        <sz val="13"/>
        <color indexed="8"/>
        <rFont val="Times New Roman"/>
        <family val="1"/>
      </rPr>
      <t>(6 điểm)</t>
    </r>
  </si>
  <si>
    <r>
      <t xml:space="preserve">Biết sử dụng thành thạo phần mềm nhập liệu và phân tích số liệu (SPSS, STATA, R, …) 
</t>
    </r>
    <r>
      <rPr>
        <sz val="13"/>
        <color indexed="8"/>
        <rFont val="Times New Roman"/>
        <family val="1"/>
      </rPr>
      <t>(8 điểm)</t>
    </r>
  </si>
  <si>
    <r>
      <t xml:space="preserve">Có khả năng hướng dẫn các phần mềm nhập liệu và phân tích số liệu trong  NCKH
</t>
    </r>
    <r>
      <rPr>
        <sz val="13"/>
        <color indexed="8"/>
        <rFont val="Times New Roman"/>
        <family val="1"/>
      </rPr>
      <t>(10 điểm)</t>
    </r>
  </si>
  <si>
    <r>
      <t xml:space="preserve">Có tham gia NCKH với vai trò là người hỗ trợ chính/ Thư ký đề tài đã được phê duyệt đề cương và đang thực hiện
</t>
    </r>
    <r>
      <rPr>
        <sz val="13"/>
        <color indexed="8"/>
        <rFont val="Times New Roman"/>
        <family val="1"/>
      </rPr>
      <t>(2 điểm)</t>
    </r>
  </si>
  <si>
    <r>
      <t xml:space="preserve">Là chủ nhiệm đề tài NCKH đã được phê duyệt đề cương và đang thực hiện.
</t>
    </r>
    <r>
      <rPr>
        <sz val="13"/>
        <color indexed="8"/>
        <rFont val="Times New Roman"/>
        <family val="1"/>
      </rPr>
      <t>(4 điểm)</t>
    </r>
  </si>
  <si>
    <r>
      <t xml:space="preserve">Là chủ nhiệm đề tài NCKH đã được công nhận 
</t>
    </r>
    <r>
      <rPr>
        <sz val="13"/>
        <color indexed="8"/>
        <rFont val="Times New Roman"/>
        <family val="1"/>
      </rPr>
      <t>(6 điểm)</t>
    </r>
  </si>
  <si>
    <r>
      <t xml:space="preserve">Là chủ nhiệm đề tài NCKH cấp cơ sở được công nhận và công bố trên tạp chí có số ISSN trong nước trong vòng 3 năm.
</t>
    </r>
    <r>
      <rPr>
        <sz val="13"/>
        <color indexed="8"/>
        <rFont val="Times New Roman"/>
        <family val="1"/>
      </rPr>
      <t>(8 điểm)</t>
    </r>
  </si>
  <si>
    <r>
      <t xml:space="preserve">Là chủ nhiệm đề tài NCKH cấp cơ sở được công nhận và công bố trên tạp chí có số ISSN trong nước trong vòng 1 năm.
</t>
    </r>
    <r>
      <rPr>
        <sz val="13"/>
        <color indexed="8"/>
        <rFont val="Times New Roman"/>
        <family val="1"/>
      </rPr>
      <t>(10 điểm)</t>
    </r>
  </si>
  <si>
    <r>
      <t xml:space="preserve">Có tham gia ít nhất 2 đề tài NCKH với vai trò là người hỗ trợ chính/ Thư ký đề tài đã được phê duyệt đề cương và đang thực hiện
</t>
    </r>
    <r>
      <rPr>
        <sz val="13"/>
        <color indexed="8"/>
        <rFont val="Times New Roman"/>
        <family val="1"/>
      </rPr>
      <t>(5 điểm)</t>
    </r>
  </si>
  <si>
    <r>
      <t xml:space="preserve">Là chủ nhiệm ít nhất 2 đề tài NCKH đã được phê duyệt đề cương và đang thực hiện.
</t>
    </r>
    <r>
      <rPr>
        <sz val="13"/>
        <color indexed="8"/>
        <rFont val="Times New Roman"/>
        <family val="1"/>
      </rPr>
      <t>(10 điểm)</t>
    </r>
  </si>
  <si>
    <r>
      <t xml:space="preserve">Là chủ nhiệm ít nhất 2 đề tài đề tài NCKH đã hoàn thành đang trong quá trình chờ thẩm định
</t>
    </r>
    <r>
      <rPr>
        <sz val="13"/>
        <color indexed="8"/>
        <rFont val="Times New Roman"/>
        <family val="1"/>
      </rPr>
      <t>(9 điểm)</t>
    </r>
  </si>
  <si>
    <r>
      <t xml:space="preserve">Là chủ nhiệm đề tài cấp cơ sở ≥ 2 bài/ năm hoặc đề tài cấp tỉnh/ thành phố đã được công nhận và công bố trên tạp chí có số ISSN trong nước trong vòng 2 năm
</t>
    </r>
    <r>
      <rPr>
        <sz val="13"/>
        <color indexed="8"/>
        <rFont val="Times New Roman"/>
        <family val="1"/>
      </rPr>
      <t>(12 điểm)</t>
    </r>
  </si>
  <si>
    <r>
      <t xml:space="preserve">Là chủ nhiệm đề tài cấp cơ sở ≥ 2 bài/ năm hoặc đề tài cấp tỉnh/ thành phố đã được công nhận và công bố trên tạp chí có số ISSN trong nước và được mời báo cáo hội nghị điều dưỡng ít nhất 2 lần về đề tài đã công bố trong vòng 2 năm
</t>
    </r>
    <r>
      <rPr>
        <sz val="13"/>
        <color indexed="8"/>
        <rFont val="Times New Roman"/>
        <family val="1"/>
      </rPr>
      <t>(15 điểm)</t>
    </r>
  </si>
  <si>
    <r>
      <t xml:space="preserve">Có tên trong bài báo được đăng tạp chí uy tín ở nước ngoài hoặc đang tham gia đề tài cấp nhà nước, đề tài đã được phê duyệt đề cương và đang trong quá trình hoàn tất
</t>
    </r>
    <r>
      <rPr>
        <sz val="13"/>
        <color indexed="8"/>
        <rFont val="Times New Roman"/>
        <family val="1"/>
      </rPr>
      <t>(4 điểm)</t>
    </r>
  </si>
  <si>
    <r>
      <t xml:space="preserve">Có tên trong bài báo được đăng tạp chí uy tín ở nước ngoài hoặc  tham gia đề tài cấp nhà nước, đề tài đã hoàn thành và đnag chờ thẩm định
</t>
    </r>
    <r>
      <rPr>
        <sz val="13"/>
        <color indexed="8"/>
        <rFont val="Times New Roman"/>
        <family val="1"/>
      </rPr>
      <t>(8 điểm)</t>
    </r>
  </si>
  <si>
    <r>
      <t xml:space="preserve">là chủ nhiệm đề tài được đăng tạp chí uy tín ở nước ngoài hoặc  tham gia đề tài cấp nhà nước, đề tài đã hoàn thành và đang chờ thẩm định
</t>
    </r>
    <r>
      <rPr>
        <sz val="13"/>
        <color indexed="8"/>
        <rFont val="Times New Roman"/>
        <family val="1"/>
      </rPr>
      <t>(12 điểm)</t>
    </r>
  </si>
  <si>
    <r>
      <t xml:space="preserve">Là chủ nhiệm đề tài được đăng tạp chí uy tín ở nước ngoài hoặc đề tài cấp nhà nước được công nhận trong vòng 5 năm
</t>
    </r>
    <r>
      <rPr>
        <sz val="13"/>
        <color indexed="8"/>
        <rFont val="Times New Roman"/>
        <family val="1"/>
      </rPr>
      <t>(16 điểm)</t>
    </r>
  </si>
  <si>
    <r>
      <t xml:space="preserve">Là chủ nhiệm đề tài được đăng tạp chí uy tín ở nước ngoài hoặc đề tài cấp nhà nước được công nhận và mời báo cáo trong các hội nghị quốc tế ít nhất 1 lần về đề tài trong vòng 5 năm
</t>
    </r>
    <r>
      <rPr>
        <sz val="13"/>
        <color indexed="8"/>
        <rFont val="Times New Roman"/>
        <family val="1"/>
      </rPr>
      <t>(20 điểm)</t>
    </r>
  </si>
  <si>
    <r>
      <t xml:space="preserve">Có tham gia ít nhất 1 đề tài NCKH/ SKCT liên quan đến thực hành chăm sóc đã được phê duyệt đề cương và đang trong quá trình thực hiện
</t>
    </r>
    <r>
      <rPr>
        <sz val="13"/>
        <color indexed="8"/>
        <rFont val="Times New Roman"/>
        <family val="1"/>
      </rPr>
      <t>(2 điểm)</t>
    </r>
  </si>
  <si>
    <r>
      <t xml:space="preserve">là chủ nhiệm ít nhất 1 đề tài NCKH/ SKCT liên quan đến thực hành chăm sóc đã được phê duyệt đề cương và đang trong quá trình thực hiện
</t>
    </r>
    <r>
      <rPr>
        <sz val="13"/>
        <color indexed="8"/>
        <rFont val="Times New Roman"/>
        <family val="1"/>
      </rPr>
      <t>(4 điểm)</t>
    </r>
  </si>
  <si>
    <r>
      <t xml:space="preserve">Là chủ nhiệm ít nhất 1 đề tài NCKH/ SKCT liên quan đến thực hành chăm sóc đã hoàn thành, đang chờ thẩm định.
</t>
    </r>
    <r>
      <rPr>
        <sz val="13"/>
        <color indexed="8"/>
        <rFont val="Times New Roman"/>
        <family val="1"/>
      </rPr>
      <t>(6 điểm)</t>
    </r>
  </si>
  <si>
    <r>
      <t xml:space="preserve">Là chủ nhiệm ít nhất 1 đề tài NCKH/ SKCT liên quan đến thực hành chăm sóc đã được công nhận.
</t>
    </r>
    <r>
      <rPr>
        <sz val="13"/>
        <color indexed="8"/>
        <rFont val="Times New Roman"/>
        <family val="1"/>
      </rPr>
      <t>(8 điểm)</t>
    </r>
  </si>
  <si>
    <r>
      <t xml:space="preserve">Là chủ nhiệm đề tài mà  giải pháp cải tiến/ thay đổi thực hành chăm sóc dựa trên kết quả nghiên cứu được phân tích và đánh giá khả năng áp dụng
</t>
    </r>
    <r>
      <rPr>
        <sz val="13"/>
        <color indexed="8"/>
        <rFont val="Times New Roman"/>
        <family val="1"/>
      </rPr>
      <t>(10 điểm)</t>
    </r>
  </si>
  <si>
    <r>
      <t xml:space="preserve">Là chủ nhiệm đề tài mà giải pháp có kế hoạch áp dụng tại ít nhất 1 khoa/ 1 nhóm đối tượng liên quan.
</t>
    </r>
    <r>
      <rPr>
        <sz val="13"/>
        <color indexed="8"/>
        <rFont val="Times New Roman"/>
        <family val="1"/>
      </rPr>
      <t>(2 điểm)</t>
    </r>
  </si>
  <si>
    <r>
      <t xml:space="preserve">Là chủ nhiệm đề tài mà giải pháp cải tiến/ thay đổi thực hành chăm sóc dựa trên kết quả nghiên cứu được áp dụng ít nhất tại một khoa/ một nhóm đối tượng liên quan
</t>
    </r>
    <r>
      <rPr>
        <sz val="13"/>
        <color indexed="8"/>
        <rFont val="Times New Roman"/>
        <family val="1"/>
      </rPr>
      <t>(4 điểm)</t>
    </r>
  </si>
  <si>
    <r>
      <t xml:space="preserve">Là chủ nhiệm đề tài mà giải pháp cải tiến/ thay đổi thực hành chăm sóc dựa trên kết quả nghiên cứu được áp dụng ít nhất tại một khoa/ một nhóm đối tượng liên quan và đánh giá kết quả áp dụng
</t>
    </r>
    <r>
      <rPr>
        <sz val="13"/>
        <color indexed="8"/>
        <rFont val="Times New Roman"/>
        <family val="1"/>
      </rPr>
      <t>(6 điểm)</t>
    </r>
  </si>
  <si>
    <r>
      <t xml:space="preserve">Là chủ nhiệm đề tài mà giải pháp cải tiến/ thay đổi thực hành chăm sóc được đánh giá hiệu quả áp dụng
</t>
    </r>
    <r>
      <rPr>
        <sz val="13"/>
        <color indexed="8"/>
        <rFont val="Times New Roman"/>
        <family val="1"/>
      </rPr>
      <t>(8 điểm)</t>
    </r>
  </si>
  <si>
    <r>
      <t xml:space="preserve">Là chủ nhiệm đề tài mà giải pháp cải tiến/ thay đổi thực hành chăm sóc được đánh giá hiệu quả áp dụng và được áp dụng toàn viện
</t>
    </r>
    <r>
      <rPr>
        <sz val="13"/>
        <color indexed="8"/>
        <rFont val="Times New Roman"/>
        <family val="1"/>
      </rPr>
      <t>(10 điểm)</t>
    </r>
  </si>
  <si>
    <r>
      <t xml:space="preserve">Là chủ nhiệm đề tài mà  giải pháp cải tiến/ thay đổi thực hành chăm sóc dựa trên kết quả nghiên cứu được bệnh viện/ trường công nhận và được giải thưởng của trường/ bệnh viện 
</t>
    </r>
    <r>
      <rPr>
        <sz val="13"/>
        <color indexed="8"/>
        <rFont val="Times New Roman"/>
        <family val="1"/>
      </rPr>
      <t>(2 điểm)</t>
    </r>
  </si>
  <si>
    <r>
      <t xml:space="preserve">Là chủ nhiệm đề tài mà  giải pháp cải tiến/ thay đổi thực hành chăm sóc dựa trên kết quả nghiên cứu được công nhận và công bố trên các tạp chí có uy tín trong nước
</t>
    </r>
    <r>
      <rPr>
        <sz val="13"/>
        <color indexed="8"/>
        <rFont val="Times New Roman"/>
        <family val="1"/>
      </rPr>
      <t>(4 điểm)</t>
    </r>
  </si>
  <si>
    <r>
      <t xml:space="preserve">Là chủ nhiệm đề tài mà  giải pháp cải tiến/ thay đổi thực hành chăm sóc dựa trên kết quả nghiên cứu được nhận giải thưởng uy tín trong nước
</t>
    </r>
    <r>
      <rPr>
        <sz val="13"/>
        <color indexed="8"/>
        <rFont val="Times New Roman"/>
        <family val="1"/>
      </rPr>
      <t>(6 điểm)</t>
    </r>
  </si>
  <si>
    <r>
      <t xml:space="preserve">Là chủ nhiệm đề tài mà  giải pháp cải tiến/ thay đổi thực hành chăm sóc dựa trên kết quả nghiên cứu được công nhận và công bố trên các tạp chí có uy tín trong nước. Đang trong quá trình đăng ký bản quyền sở hữu trí tuệ
</t>
    </r>
    <r>
      <rPr>
        <sz val="13"/>
        <color indexed="8"/>
        <rFont val="Times New Roman"/>
        <family val="1"/>
      </rPr>
      <t>(8 điểm)</t>
    </r>
  </si>
  <si>
    <r>
      <t xml:space="preserve">Kết quả NCKH/SKCT, phát minh mới được đăng ký bản quyền sở hữu trí tuệ trong vòng 2 năm
</t>
    </r>
    <r>
      <rPr>
        <sz val="13"/>
        <color indexed="8"/>
        <rFont val="Times New Roman"/>
        <family val="1"/>
      </rPr>
      <t>(10 điểm)</t>
    </r>
  </si>
  <si>
    <r>
      <t xml:space="preserve">Biết được: các loại máy, VTYT tại khoa </t>
    </r>
    <r>
      <rPr>
        <sz val="13"/>
        <color indexed="8"/>
        <rFont val="Times New Roman"/>
        <family val="1"/>
      </rPr>
      <t>(1 điểm)</t>
    </r>
  </si>
  <si>
    <r>
      <t xml:space="preserve">Biết sử dụng, vận hành các trang thiết bị, VTYT tại khoa cần sự hỗ trợ thường xuyên. </t>
    </r>
    <r>
      <rPr>
        <sz val="13"/>
        <color indexed="8"/>
        <rFont val="Times New Roman"/>
        <family val="1"/>
      </rPr>
      <t>(2 điểm)</t>
    </r>
  </si>
  <si>
    <r>
      <t xml:space="preserve">Biết sử dụng, vận hành các trang thiết bị, VTYT tại khoa thỉnh thoảng cần sự hỗ trợ. </t>
    </r>
    <r>
      <rPr>
        <sz val="13"/>
        <color indexed="8"/>
        <rFont val="Times New Roman"/>
        <family val="1"/>
      </rPr>
      <t>(3 điểm)</t>
    </r>
  </si>
  <si>
    <r>
      <t xml:space="preserve">Biết sử dụng, vận hành các trang thiết bị, VTYT tại khoa một cách độc lập. </t>
    </r>
    <r>
      <rPr>
        <sz val="13"/>
        <color indexed="8"/>
        <rFont val="Times New Roman"/>
        <family val="1"/>
      </rPr>
      <t>(4 điểm)</t>
    </r>
  </si>
  <si>
    <r>
      <t xml:space="preserve">Có khả năng hướng dẩn quy trình, quy định về sử dụng, vận hành các trang thiết bị, VTYT tại khoa. </t>
    </r>
    <r>
      <rPr>
        <sz val="13"/>
        <color indexed="8"/>
        <rFont val="Times New Roman"/>
        <family val="1"/>
      </rPr>
      <t>(5 điểm)</t>
    </r>
  </si>
  <si>
    <r>
      <t xml:space="preserve">Xác định được các yêu cầu về trang thiết bị và vật tư phù hợp với chăm sóc bệnh nhân dựa trên bằng chứng khoa học. </t>
    </r>
    <r>
      <rPr>
        <sz val="13"/>
        <color indexed="8"/>
        <rFont val="Times New Roman"/>
        <family val="1"/>
      </rPr>
      <t>(3 điểm)</t>
    </r>
  </si>
  <si>
    <r>
      <t xml:space="preserve">Xác định được các yêu cầu về trang thiết bị và vật tư phù hợp với chăm sóc bệnh nhân dựa trên bằng chứng khoa học và có thực hiện đánh giá tại khoa đơn vị </t>
    </r>
    <r>
      <rPr>
        <sz val="13"/>
        <color indexed="8"/>
        <rFont val="Times New Roman"/>
        <family val="1"/>
      </rPr>
      <t xml:space="preserve"> (4 điểm)</t>
    </r>
  </si>
  <si>
    <r>
      <t xml:space="preserve">Đề xuất được các VTYT, trang thiết bị dựa trên bằng chứng khoa học và đánh giá thực tế tại khoa, đon vị </t>
    </r>
    <r>
      <rPr>
        <sz val="13"/>
        <color indexed="8"/>
        <rFont val="Times New Roman"/>
        <family val="1"/>
      </rPr>
      <t>(5 điểm)</t>
    </r>
  </si>
  <si>
    <r>
      <t xml:space="preserve">Lập được kế hoạch bảo quản trang thiết bị, vật tư
</t>
    </r>
    <r>
      <rPr>
        <sz val="13"/>
        <color indexed="8"/>
        <rFont val="Times New Roman"/>
        <family val="1"/>
      </rPr>
      <t>(6 điểm)</t>
    </r>
  </si>
  <si>
    <r>
      <t xml:space="preserve">Đảm bảo thực hiện kế hoạch đúng tiến độ </t>
    </r>
    <r>
      <rPr>
        <sz val="13"/>
        <color indexed="8"/>
        <rFont val="Times New Roman"/>
        <family val="1"/>
      </rPr>
      <t>(8 điểm)</t>
    </r>
  </si>
  <si>
    <r>
      <t xml:space="preserve">Có sáng kiến cải tiến trong bảo quản trang thiết bị, vật tư </t>
    </r>
    <r>
      <rPr>
        <sz val="13"/>
        <color indexed="8"/>
        <rFont val="Times New Roman"/>
        <family val="1"/>
      </rPr>
      <t>(10 điểm)</t>
    </r>
  </si>
  <si>
    <r>
      <t xml:space="preserve">Vận dụng thành thạo và xử lý các vấn đề phát sinh trong quá trình sử dụng các trang thiết bị, VTYT tại khoa </t>
    </r>
    <r>
      <rPr>
        <sz val="13"/>
        <color indexed="8"/>
        <rFont val="Times New Roman"/>
        <family val="1"/>
      </rPr>
      <t>(6 điểm)</t>
    </r>
  </si>
  <si>
    <r>
      <t xml:space="preserve">Hiểu rõ nguyên lý hoạt động và phòng ngửa các sự cố liên quan đến việc sử dụng trang thiết bị </t>
    </r>
    <r>
      <rPr>
        <sz val="13"/>
        <color indexed="8"/>
        <rFont val="Times New Roman"/>
        <family val="1"/>
      </rPr>
      <t>(8 điểm)</t>
    </r>
  </si>
  <si>
    <r>
      <t xml:space="preserve">Đánh giá, đo lường việc sử dụng, và đề xuất cải tiến chất lượng an toàn và hiệu quả. </t>
    </r>
    <r>
      <rPr>
        <sz val="13"/>
        <color indexed="8"/>
        <rFont val="Times New Roman"/>
        <family val="1"/>
      </rPr>
      <t>(10 điểm)</t>
    </r>
  </si>
  <si>
    <r>
      <t xml:space="preserve">Có nghiên cứu/đề án khảo sát hiệu quả kinh tế của một biện pháp, lĩnh vực chăm sóc tại khoa, đơn vị. </t>
    </r>
    <r>
      <rPr>
        <sz val="13"/>
        <color indexed="8"/>
        <rFont val="Times New Roman"/>
        <family val="1"/>
      </rPr>
      <t>(5 điểm)</t>
    </r>
  </si>
  <si>
    <r>
      <t xml:space="preserve">Có nghiên cứu/đề án khảo sát hiệu quả kinh tế của một biện pháp, lĩnh vực chăm sóc tại các khoa có nhu cầu. </t>
    </r>
    <r>
      <rPr>
        <sz val="13"/>
        <color indexed="8"/>
        <rFont val="Times New Roman"/>
        <family val="1"/>
      </rPr>
      <t>(10 điểm)</t>
    </r>
  </si>
  <si>
    <r>
      <t xml:space="preserve">Có đánh giá, phân tích nhu cầu nguồn nhân lực phục vụ cho công tác chăm sóc hiệu quả
 </t>
    </r>
    <r>
      <rPr>
        <sz val="13"/>
        <color indexed="8"/>
        <rFont val="Times New Roman"/>
        <family val="1"/>
      </rPr>
      <t>(5 điểm)</t>
    </r>
  </si>
  <si>
    <r>
      <t xml:space="preserve">Xây dựng được kế hoạch phân bổ nguồn nhân lực phù hợp nhu cầu chăm sóc tại khoa, đơn vị. </t>
    </r>
    <r>
      <rPr>
        <sz val="13"/>
        <color indexed="8"/>
        <rFont val="Times New Roman"/>
        <family val="1"/>
      </rPr>
      <t>(10 điểm)</t>
    </r>
  </si>
  <si>
    <r>
      <t xml:space="preserve">Có kế hoạch quản lý và dự toán nguồn tài chính phục vụ cho chăm sóc tại khoa, đơn vị.
 </t>
    </r>
    <r>
      <rPr>
        <sz val="13"/>
        <color indexed="8"/>
        <rFont val="Times New Roman"/>
        <family val="1"/>
      </rPr>
      <t>(5 điểm)</t>
    </r>
  </si>
  <si>
    <r>
      <t xml:space="preserve">Triển khai đánh giá và đo lường hiệu quả của kế hoạch. </t>
    </r>
    <r>
      <rPr>
        <sz val="13"/>
        <color indexed="8"/>
        <rFont val="Times New Roman"/>
        <family val="1"/>
      </rPr>
      <t>(10 điểm)</t>
    </r>
  </si>
  <si>
    <r>
      <t xml:space="preserve">Triển khai và báo cáo kết quả đề án cải tiến tại khoa, đơn vị. </t>
    </r>
    <r>
      <rPr>
        <sz val="13"/>
        <color indexed="8"/>
        <rFont val="Times New Roman"/>
        <family val="1"/>
      </rPr>
      <t>(5 điểm)</t>
    </r>
  </si>
  <si>
    <r>
      <t xml:space="preserve">Đề án được thẩm định và công nhận hiệu quả bởi Hội đồng chuyên môn.
Được triển khai ứng dụng tại bệnh viện. </t>
    </r>
    <r>
      <rPr>
        <sz val="13"/>
        <color indexed="8"/>
        <rFont val="Times New Roman"/>
        <family val="1"/>
      </rPr>
      <t>(10 điểm)</t>
    </r>
  </si>
  <si>
    <r>
      <t xml:space="preserve">Có kiến thức về an toàn lao động, sức khỏe nghề nghiệp 
</t>
    </r>
    <r>
      <rPr>
        <sz val="13"/>
        <color indexed="8"/>
        <rFont val="Times New Roman"/>
        <family val="1"/>
      </rPr>
      <t>(3 điểm)</t>
    </r>
  </si>
  <si>
    <r>
      <t xml:space="preserve">Có phổ biến, triển khai cho đồng nghiệp các nội dung liên quan đến sức khỏe nghề nghiệp và luật pháp về an toàn lao động 
</t>
    </r>
    <r>
      <rPr>
        <sz val="13"/>
        <color indexed="8"/>
        <rFont val="Times New Roman"/>
        <family val="1"/>
      </rPr>
      <t>(4 điểm)</t>
    </r>
  </si>
  <si>
    <r>
      <t xml:space="preserve">Đề xuất được các giải pháp bảo vệ sức khỏe nghề nghiệp và tăng cường lao động. </t>
    </r>
    <r>
      <rPr>
        <sz val="13"/>
        <color indexed="8"/>
        <rFont val="Times New Roman"/>
        <family val="1"/>
      </rPr>
      <t>(5 điểm)</t>
    </r>
  </si>
  <si>
    <t>Có trường hợp không tuân thủ → 0 điểm</t>
  </si>
  <si>
    <t>Tuân thủ theo các quy trình về kiểm soát nhiễm khuẩn trong chăm sóc Người bệnh của khoa KSNK (6 điểm)</t>
  </si>
  <si>
    <r>
      <t xml:space="preserve">Có kế hoạch giám sát/tham gia giám sát tuân thủ các chính sách, quy trình </t>
    </r>
    <r>
      <rPr>
        <sz val="13"/>
        <color indexed="8"/>
        <rFont val="Times New Roman"/>
        <family val="1"/>
      </rPr>
      <t>(8 điểm)</t>
    </r>
  </si>
  <si>
    <r>
      <t xml:space="preserve">Có giải pháp cải thiện và tăng cường sự tuân thủ của nhân viên </t>
    </r>
    <r>
      <rPr>
        <sz val="13"/>
        <color indexed="8"/>
        <rFont val="Times New Roman"/>
        <family val="1"/>
      </rPr>
      <t>(10 điểm)</t>
    </r>
  </si>
  <si>
    <r>
      <t xml:space="preserve">Tuân thủ/triển khai các quy định dự phòng phơi nhiễm với các tác nhân gây bệnh và biết được phương pháp xử lý </t>
    </r>
    <r>
      <rPr>
        <sz val="13"/>
        <color indexed="8"/>
        <rFont val="Times New Roman"/>
        <family val="1"/>
      </rPr>
      <t>(3 điểm)</t>
    </r>
  </si>
  <si>
    <r>
      <t xml:space="preserve">Có kế hoạch giám sát/tham gia giám sát tuân thủ quy định
 </t>
    </r>
    <r>
      <rPr>
        <sz val="13"/>
        <color indexed="8"/>
        <rFont val="Times New Roman"/>
        <family val="1"/>
      </rPr>
      <t>(4 điểm)</t>
    </r>
  </si>
  <si>
    <r>
      <t xml:space="preserve">Có giải pháp cải thiện và tăng cường sự tuân thủ của nhân viên 
</t>
    </r>
    <r>
      <rPr>
        <sz val="13"/>
        <color indexed="8"/>
        <rFont val="Times New Roman"/>
        <family val="1"/>
      </rPr>
      <t>(5 điểm)</t>
    </r>
  </si>
  <si>
    <r>
      <t xml:space="preserve">Có kiến thức về an toàn phòng cháy chữa cháy và các trường hợp khẩn cấp khác (sử dụng các phương tiện chữa cháy, thoát hiểm,…) 
</t>
    </r>
    <r>
      <rPr>
        <sz val="13"/>
        <color indexed="8"/>
        <rFont val="Times New Roman"/>
        <family val="1"/>
      </rPr>
      <t>(3 điểm)</t>
    </r>
  </si>
  <si>
    <r>
      <t xml:space="preserve">Có kiến thức về xử lý/quản lý tinh huống </t>
    </r>
    <r>
      <rPr>
        <sz val="13"/>
        <color indexed="8"/>
        <rFont val="Times New Roman"/>
        <family val="1"/>
      </rPr>
      <t>(5 điểm)</t>
    </r>
  </si>
  <si>
    <r>
      <t xml:space="preserve">Nêu được những điểm mạnh, điểm yếu cá nhân và nguyện vọng phát triển nghề nghiệp.
 </t>
    </r>
    <r>
      <rPr>
        <sz val="13"/>
        <color indexed="8"/>
        <rFont val="Times New Roman"/>
        <family val="1"/>
      </rPr>
      <t>(4 điểm)</t>
    </r>
  </si>
  <si>
    <r>
      <t xml:space="preserve">Có kế hoạch và đang thực hiện kế hoạch phát triển nghề nghiệp.
</t>
    </r>
    <r>
      <rPr>
        <sz val="13"/>
        <color indexed="8"/>
        <rFont val="Times New Roman"/>
        <family val="1"/>
      </rPr>
      <t>(8 điểm)</t>
    </r>
  </si>
  <si>
    <r>
      <t xml:space="preserve">Đạt được các bằng cấp nâng cao trình độ chuyên môn, nghiệp vụ trong vòng 3 năm.
</t>
    </r>
    <r>
      <rPr>
        <sz val="13"/>
        <color indexed="8"/>
        <rFont val="Times New Roman"/>
        <family val="1"/>
      </rPr>
      <t>(10 điểm)</t>
    </r>
  </si>
  <si>
    <r>
      <t xml:space="preserve">Đạt được 12 tiết trong năm 
</t>
    </r>
    <r>
      <rPr>
        <sz val="13"/>
        <color indexed="8"/>
        <rFont val="Times New Roman"/>
        <family val="1"/>
      </rPr>
      <t>(6 điểm)</t>
    </r>
  </si>
  <si>
    <r>
      <t xml:space="preserve">Đạt được 24 tiết trong năm 
</t>
    </r>
    <r>
      <rPr>
        <sz val="13"/>
        <color indexed="8"/>
        <rFont val="Times New Roman"/>
        <family val="1"/>
      </rPr>
      <t>(8 điểm)</t>
    </r>
  </si>
  <si>
    <r>
      <t xml:space="preserve">Đạt được &gt;24 tiết trong năm
-Và ít nhất 50% các chương trình đào tạo tập huấn nâng cao kiến thức chuyên môn và kỹ năng khác do bệnh viện tổ chức
</t>
    </r>
    <r>
      <rPr>
        <sz val="13"/>
        <color indexed="8"/>
        <rFont val="Times New Roman"/>
        <family val="1"/>
      </rPr>
      <t>(10 điểm)</t>
    </r>
  </si>
  <si>
    <r>
      <t xml:space="preserve">Có thái độ tích cực với những đổi mới, quan điểm trái chiều, thể hiện sự lắng nghe các kiến nghị và các đề xuất, thử nghiệm các phương pháp mới 
</t>
    </r>
    <r>
      <rPr>
        <sz val="13"/>
        <color indexed="8"/>
        <rFont val="Times New Roman"/>
        <family val="1"/>
      </rPr>
      <t>(10 điểm)</t>
    </r>
  </si>
  <si>
    <r>
      <t xml:space="preserve">Tham gia hướng dẫn lâm sàng 
</t>
    </r>
    <r>
      <rPr>
        <sz val="13"/>
        <color indexed="8"/>
        <rFont val="Times New Roman"/>
        <family val="1"/>
      </rPr>
      <t>(4 điểm)</t>
    </r>
  </si>
  <si>
    <r>
      <t xml:space="preserve">Tham gia biên soạn nội dung chương trình đào tạo 
</t>
    </r>
    <r>
      <rPr>
        <sz val="13"/>
        <color indexed="8"/>
        <rFont val="Times New Roman"/>
        <family val="1"/>
      </rPr>
      <t>(6 điểm)</t>
    </r>
  </si>
  <si>
    <r>
      <t xml:space="preserve">Tham gia giảng dạy tại khoa/đơn vị
</t>
    </r>
    <r>
      <rPr>
        <sz val="13"/>
        <color indexed="8"/>
        <rFont val="Times New Roman"/>
        <family val="1"/>
      </rPr>
      <t>(8 điểm)</t>
    </r>
  </si>
  <si>
    <r>
      <t xml:space="preserve">Tham gia giảng dạy toàn bệnh viện 
</t>
    </r>
    <r>
      <rPr>
        <sz val="13"/>
        <color indexed="8"/>
        <rFont val="Times New Roman"/>
        <family val="1"/>
      </rPr>
      <t>(10 điểm)</t>
    </r>
  </si>
  <si>
    <r>
      <t xml:space="preserve">Phân tích để xác định các vấn đề tồn động cần khắc phục
</t>
    </r>
    <r>
      <rPr>
        <sz val="13"/>
        <color indexed="8"/>
        <rFont val="Times New Roman"/>
        <family val="1"/>
      </rPr>
      <t>(8 điểm)</t>
    </r>
  </si>
  <si>
    <r>
      <t xml:space="preserve">Có sự đánh giá và   theo dõi thường xuyên các vấn đề tồn động
</t>
    </r>
    <r>
      <rPr>
        <sz val="13"/>
        <color indexed="8"/>
        <rFont val="Times New Roman"/>
        <family val="1"/>
      </rPr>
      <t>(10 điểm)</t>
    </r>
  </si>
  <si>
    <r>
      <t xml:space="preserve">Có đưa ra biện pháp khắc phục nhằm đảm bảo chất lượng chăm sóc
</t>
    </r>
    <r>
      <rPr>
        <sz val="13"/>
        <color indexed="8"/>
        <rFont val="Times New Roman"/>
        <family val="1"/>
      </rPr>
      <t>(10 điểm)</t>
    </r>
  </si>
  <si>
    <r>
      <t xml:space="preserve">Xây dựng được kế hoạch cải tiến trong hoạt động chăm sóc tại khoa, đơn vị 
</t>
    </r>
    <r>
      <rPr>
        <sz val="13"/>
        <color indexed="8"/>
        <rFont val="Times New Roman"/>
        <family val="1"/>
      </rPr>
      <t>(6 điểm)</t>
    </r>
  </si>
  <si>
    <r>
      <t xml:space="preserve">Thực hiện kế hoạch cải tiến nâng cao
</t>
    </r>
    <r>
      <rPr>
        <sz val="13"/>
        <color indexed="8"/>
        <rFont val="Times New Roman"/>
        <family val="1"/>
      </rPr>
      <t>(8 điểm)</t>
    </r>
  </si>
  <si>
    <r>
      <t xml:space="preserve">Đánh giá hiệu quả cải tiến đã được thực hiện 
</t>
    </r>
    <r>
      <rPr>
        <sz val="13"/>
        <color indexed="8"/>
        <rFont val="Times New Roman"/>
        <family val="1"/>
      </rPr>
      <t>(10 điểm)</t>
    </r>
  </si>
  <si>
    <r>
      <t xml:space="preserve">Có sự giám sát hỗ trợ cho các thành viên của nhóm chăm sóc </t>
    </r>
    <r>
      <rPr>
        <sz val="13"/>
        <color indexed="8"/>
        <rFont val="Times New Roman"/>
        <family val="1"/>
      </rPr>
      <t>(8điểm)</t>
    </r>
  </si>
  <si>
    <t>TIÊU CHUẨN 25.
Sự trải nghiệm nghề nghiệp</t>
  </si>
  <si>
    <r>
      <rPr>
        <b/>
        <sz val="13"/>
        <color indexed="8"/>
        <rFont val="Times New Roman"/>
        <family val="1"/>
      </rPr>
      <t xml:space="preserve">
Cách tính thâm niên công tác đối với những nhân viên đã công tác tại các bệnh viện khác trước khi làm việc tại BV ĐHYD
</t>
    </r>
    <r>
      <rPr>
        <sz val="13"/>
        <color indexed="8"/>
        <rFont val="Times New Roman"/>
        <family val="1"/>
      </rPr>
      <t xml:space="preserve">
</t>
    </r>
    <r>
      <rPr>
        <b/>
        <sz val="13"/>
        <color indexed="8"/>
        <rFont val="Times New Roman"/>
        <family val="1"/>
      </rPr>
      <t>Ghi chú</t>
    </r>
    <r>
      <rPr>
        <sz val="13"/>
        <color indexed="8"/>
        <rFont val="Times New Roman"/>
        <family val="1"/>
      </rPr>
      <t>: 1* và 2*: Bằng cấp trung học chỉ áp dụng đến năm 2024
                Đối với ĐD có thâm niên công tác từ các BV khác: trải nghiệm nghề nghiệp được tính bằng bậc lương theo BV chi trả quy đổi sang số năm (Ví dụ: Bậc lương CN là 2/9 --&gt; trải nghiệm nghề nghiệp: 2x3-6 năm, bậc lương TH là 2/12 --&gt; trải nghiệm nghề nghiệp: 2x2=4 năm)</t>
    </r>
  </si>
  <si>
    <t>Hướng dẫ</t>
  </si>
  <si>
    <r>
      <t xml:space="preserve">TIÊU CHUẨN NĂNG LỰC VÀ CÁC TIÊU CHÍ ĐÁNH GIÁ
</t>
    </r>
    <r>
      <rPr>
        <b/>
        <sz val="15"/>
        <color indexed="30"/>
        <rFont val="Times New Roman"/>
        <family val="1"/>
      </rPr>
      <t>ÁP DỤNG CHO ĐIỀU DƯỠNG KHOA NỘI SOI</t>
    </r>
  </si>
  <si>
    <r>
      <t>A. Trung học/Cao đẳng</t>
    </r>
    <r>
      <rPr>
        <i/>
        <sz val="9"/>
        <color indexed="8"/>
        <rFont val="Times New Roman"/>
        <family val="1"/>
      </rPr>
      <t xml:space="preserve"> </t>
    </r>
  </si>
  <si>
    <r>
      <t xml:space="preserve">B. Đại học </t>
    </r>
    <r>
      <rPr>
        <i/>
        <sz val="10"/>
        <color indexed="8"/>
        <rFont val="Times New Roman"/>
        <family val="1"/>
      </rPr>
      <t/>
    </r>
  </si>
  <si>
    <r>
      <t xml:space="preserve">Sử dụng công nghệ thông tin cơ bản
</t>
    </r>
    <r>
      <rPr>
        <i/>
        <sz val="11"/>
        <color indexed="8"/>
        <rFont val="Times New Roman"/>
        <family val="1"/>
      </rPr>
      <t>(Theo Thông tư số 03/2014/TT-BTTTT)</t>
    </r>
  </si>
  <si>
    <r>
      <t xml:space="preserve">Sử dụng công nghệ thông tin nâng cao 
</t>
    </r>
    <r>
      <rPr>
        <i/>
        <sz val="11"/>
        <color indexed="8"/>
        <rFont val="Times New Roman"/>
        <family val="1"/>
      </rPr>
      <t>(Theo Thông tư số 03/2014/TT-BTTTT)</t>
    </r>
  </si>
  <si>
    <t>Tuân thủ tiêu chuẩn đạo đức, không đổ lỗi cho đồng nghiệp, người bệnh đối với các sai sót của cá nhân. Bảo vệ hình ảnh đồng nghiệp trước người bệnh/ người nhà và xã hội</t>
  </si>
  <si>
    <t>Chuẩn bị đầy đủ dụng cụ và hỗ trợ bác sĩ thực hiện nội soi dạ dày</t>
  </si>
  <si>
    <t>Chuẩn bị đầy đủ dụng cụ và hỗ trợ bác sĩ thực hiện nội soi trực tràng</t>
  </si>
  <si>
    <t xml:space="preserve">TIÊU CHUẨN 8. Năng lực thực hành kĩ thuật chăm sóc
</t>
  </si>
  <si>
    <t xml:space="preserve">TIÊU CHUẨN 9. Năng lực dùng thuốc an toàn, hiệu quả </t>
  </si>
  <si>
    <t xml:space="preserve">Tiêu chí
</t>
  </si>
  <si>
    <t>TIÊU CHUẨN 10.
Năng lực sử dụng phần mềm quản lý kết quả nội soi, giải phẫu bệnh, phiếu chỉ định và xử lý hình ảnh</t>
  </si>
  <si>
    <t>Có khả năng truy cập và xử lý hình ảnh nội soi khi lỗi mạng</t>
  </si>
  <si>
    <t>TIÊU CHUẨN 12.
Năng lực hỗ trợ thực hiện các thủ thuật nội soi cơ bản</t>
  </si>
  <si>
    <t>Sử dụng thành thạo dụng cụ và hỗ trợ thực hiện thủ thuật chích cầm máu, theo dõi và phát hiện kịp thời những bất thường trong và sau khi thực hiện thủ thuật</t>
  </si>
  <si>
    <t>Sử dụng thành thạo dụng cụ và hỗ trợ thực hiện thủ thuật kẹp cầm máu, theo dõi và phát hiện kịp thời những bất thường trong và sau khi thực hiện thủ thuật</t>
  </si>
  <si>
    <t>TIÊU CHUẨN 13.
Thiết lập mối quan hệ với người bệnh, giáo dục sức khỏe hiệu quả</t>
  </si>
  <si>
    <t>TIÊU CHUẨN 14.
Tham gia đào tạo và nâng cao kỹ thuật chuyên môn</t>
  </si>
  <si>
    <t>Có khả năng truyền đạt kiến thức, đào tạo chuyên môn cho người khác (sinh viên, học viên, nhân viên mới)</t>
  </si>
  <si>
    <t>TIÊU CHUẨN 15.
Năng lực hỗ trợ thực hiện các thủ thuật nội soi nâng cao</t>
  </si>
  <si>
    <t>Lập kế hoạch bảo quản trang thiết bị, vật tư một cách hiệu quả</t>
  </si>
  <si>
    <t>TIÊU CHUẨN 20.
Sử dụng nguồn tài chính thích hợp để chăm sóc người bệnh hiệu quả</t>
  </si>
  <si>
    <t>TIÊU CHUẨN 23.
Cải tiến chất lượng thực hành nội soi</t>
  </si>
  <si>
    <t>TIÊU CHUẨN 24.
Quản lý chất lượng thực hành nội soi</t>
  </si>
  <si>
    <t xml:space="preserve">CẤP 1 </t>
  </si>
  <si>
    <t>Điểm đánh giá</t>
  </si>
  <si>
    <t xml:space="preserve">CẤP 2 </t>
  </si>
  <si>
    <t xml:space="preserve">CẤP 3 </t>
  </si>
  <si>
    <t xml:space="preserve">CẤP 4 </t>
  </si>
  <si>
    <t>Nhân viên</t>
  </si>
  <si>
    <t>Quản lý trực tiếp</t>
  </si>
  <si>
    <t xml:space="preserve">CẤP 6 </t>
  </si>
  <si>
    <t xml:space="preserve">CẤP 7 </t>
  </si>
  <si>
    <r>
      <rPr>
        <b/>
        <sz val="18"/>
        <color rgb="FF0070C0"/>
        <rFont val="Times New Roman"/>
        <charset val="134"/>
      </rPr>
      <t xml:space="preserve">TIÊU CHUẨN NĂNG LỰC VÀ CÁC TIÊU CHÍ ĐÁNH GIÁ
</t>
    </r>
    <r>
      <rPr>
        <b/>
        <sz val="15"/>
        <color rgb="FF0070C0"/>
        <rFont val="Times New Roman"/>
        <charset val="134"/>
      </rPr>
      <t xml:space="preserve">ÁP DỤNG CHO ĐIỀU DƯỠNG KHOA NỘI SOI </t>
    </r>
  </si>
  <si>
    <t>Chịu trách nhiệm cá nhân khi đưa ra các quyết định chăm sóc và thực hiện các kỹ thuật nội soi trên người bệnh</t>
  </si>
  <si>
    <t>Tuân thủ tiêu chuẩn đạo đức, không đổ lỗi cho đồng nghiệp, người bệnh đối với các sai sót của cá nhân. Bảo vệ hình ảnh đồng nghiệp trước người bệnh/người nhà và xã hội</t>
  </si>
  <si>
    <t>Xây dựng kế hoạch giáo dục sức khỏe phù hợp với bệnh tật và văn hóa, tín ngưỡng của cá nhân, gia đình và xã hội; tài liệu giáo dục sức khỏe phù hợp với trình độ của đối tượng</t>
  </si>
  <si>
    <t>Chọn 1
thành tích cao nhất</t>
  </si>
  <si>
    <t>Thiết lập các nội dung liên quan đến sức khỏe nghề nghiệp và luật pháp về an toàn lao động</t>
  </si>
  <si>
    <t>Chuẩn bị đầy đủ dụng cụ và hỗ trợ bác sĩ thực hiện nội soi đại tràng không gây mê</t>
  </si>
  <si>
    <t>Chuẩn bị đầy đủ dụng cụ và hỗ trợ bác sĩ thực hiện nội soi đại tràng gây mê</t>
  </si>
  <si>
    <t>Phát hiện và biết cách xử lý ban đầu các dấu hiệu có hại của thuốc và thông tin kịp thời đến bác sĩ, điều dưỡng phụ trách thuốc, điều phụ trách khoa</t>
  </si>
  <si>
    <t xml:space="preserve">Có khả năng sử dụng phần mềm UMC2 Soft thành thành thạo, xác nhận thông tin người bệnh </t>
  </si>
  <si>
    <t>Có khả năng truy cập kết quả, phân biệt kết quả, trả kết quả cho người bệnh đúng loại, CLOTEST qua ngày…</t>
  </si>
  <si>
    <t>Sử dụng thành thạo dụng cụ và hỗ trợ thực hiện thủ thuật cắt polyp dưới 1 cm, theo dõi và phát hiện kịp thời những bất thường trong và sau khi thực hiện thủ thuật</t>
  </si>
  <si>
    <t>Sử dụng thành thạo dụng cụ và hỗ trợ thực hiện thủ thuật cắt polyp ống tiêu hóa trên 1 cm, theo dõi và phát hiện kịp thời những bất thường trong và sau khi thực hiện thủ thuật</t>
  </si>
  <si>
    <t>Tham gia đầy đủ 24 tiết sinh hoạt chuyên môn trong 1 năm do Bệnh viện tổ chức</t>
  </si>
  <si>
    <t>Tham gia ít nhất 1 chương trình đào tạo do Hội Nội soi Tiêu hóa tổ chức (có giấy chứng nhận)</t>
  </si>
  <si>
    <t>Biên soạn bài giáo dục sức khỏe cho người bệnh sau khi thực hiện thủ thuật nội soi, áp dụng trên quy mô toàn bệnh viện (được Ban Lãnh đạo phê duyệt);
Thực hiện giáo dục sức khỏe cho người bệnh cấp bệnh viện, đem lại hiệu quả tốt</t>
  </si>
  <si>
    <t>Sử dụng thành thạo dụng cụ và hỗ trợ thực hiện thủ thuật gắp dị vật trong thủ thuật nội soi dạ dày</t>
  </si>
  <si>
    <t>Sử dụng thành thạo dụng cụ và hỗ trợ thực hiện thủ thuật gắp dị vật trong thủ thuật nội soi đại tràng</t>
  </si>
  <si>
    <t>Sử dụng thành thạo dụng cụ và hỗ trợ thực hiện thủ thuật cắt polyp trên 2 cm và nhiều polyp</t>
  </si>
  <si>
    <t xml:space="preserve">Sử dụng thành thạo kiến thức đễ hỗ trợ bác sĩ ép bụng trong kỹ thuật nội soi đại tràng khó, đảm bảo thành công 100% </t>
  </si>
  <si>
    <t>Đại học Công nghệ miền đông</t>
  </si>
  <si>
    <t>Có tham gia soạn bài GDSK được duyệt cấp khoa.Có trình bày GDSK cho NB/NN.                               Thời gian GDSK phù hợp với NB, Nội dung phù hợp với tình trạng bệnh, Chủ động cung cấp tài liệu GDSK cho NB/.NN.                     
Tỉ lệ 60-74% số lần quan sát
(26 điểm)</t>
  </si>
  <si>
    <t>Có tham gia soạn bài GDSK được duyệt cấp khoa. Có trình bày GDSK cho NB/NN.                              Thời gian GDSK phù hợp với NB, Nội dung phù hợp với tình trạng bệnh, Chủ động cung cấp tài liệu GDSK cho NB/.NN.                     
Tỉ lệ 50- 59% số lần quan sát
(24 điểm)</t>
  </si>
  <si>
    <t>Có tham gia soạn bài GDSK được duyệt cấp khoa. Có trình bày GDSK cho NB/NN.                              
Thời gian GDSK phù hợp với NB, Nội dung phù hợp với tình trạng bệnh, Chủ động cung cấp tài liệu GDSK cho NB/.NN.                      
Tỉ lệ &lt; 50% số lần quan sát
(22 điểm)</t>
  </si>
  <si>
    <t>Có tham gia soạn bài GDSK được duyệt cấp khoa. Có trình bày GDSK cho NB/NN.                              
Thời gian GDSK phù hợp với NB, Nội dung phù hợp với tình trạng bệnh, Chủ động cung cấp tài liệu GDSK cho NB/.NN.                      
Tỉ lệ 75-89% số lần quan sát
(28 điểm)</t>
  </si>
  <si>
    <t>Có tham gia soạn bài GDSK được duyệt cấp khoa.                              
Có trình bày GDSK cho NB/NN.                   Thời gian GDSK phù hợp với NB, Nội dung phù hợp với tình trạng bệnh, Chủ động cung cấp tài liệu GDSK cho NB/.NN.                     
Tỉ lệ ≥ 90% số lần quan sát
(30 điểm)</t>
  </si>
  <si>
    <t xml:space="preserve">Có khả năng sử dụng phần mềm UMC2 Soft (phần mềm Ris và His) thành thạo, xác nhận thông tin người bệnh </t>
  </si>
  <si>
    <t>Tham gia trên 95% các bài sinh hoạt chuyên môn do bệnh viện tổ chức
(10 điểm)</t>
  </si>
  <si>
    <t>Tham gia 50-60% các bài sinh hoạt chuyên môn do bệnh viện tổ chức
(6 điểm)</t>
  </si>
  <si>
    <t>Tham gia trên 70-80% các bài sinh hoạt chuyên môn do bệnh viện tổ chức
(8 điểm)</t>
  </si>
  <si>
    <t>Tham gia ít nhất 1 chương trình đào tạo do Hội Nội soi Tiêu hóa tổ chức (có giấy chứng nhận)
(20 điểm)</t>
  </si>
  <si>
    <t>Có khả năng truyền đạt kiến thức, đào tạo chuyên môn cho người khác (sinh viên, học viên, nhân viên mới). Giúp sinh viên, nhân viên mới đáp ứng các công việc trong khoa từ 30-50% trong 3 tháng
(8 điểm)</t>
  </si>
  <si>
    <t>Có khả năng truyền đạt kiến thức, đào tạo chuyên môn cho người khác (sinh viên, học viên, nhân viên mới).
(6 điểm)</t>
  </si>
  <si>
    <t>Có khả năng truyền đạt kiến thức, đào tạo chuyên môn cho người khác (sinh viên, học viên, nhân viên mới). Giúp sinh viên, nhân viên mới đáp ứng các công việc trong khoa từ 50-90% trong 3 tháng
(10 điểm)</t>
  </si>
  <si>
    <r>
      <t xml:space="preserve">Có khảo sát các vấn đề còn tồn động trong hoạt động  tại khoa, đơn vị 
</t>
    </r>
    <r>
      <rPr>
        <sz val="13"/>
        <color indexed="8"/>
        <rFont val="Times New Roman"/>
        <family val="1"/>
      </rPr>
      <t>(6 điểm)</t>
    </r>
  </si>
  <si>
    <r>
      <t xml:space="preserve">Xây dựng được mục tiêu công việc theo vị trí phân công
</t>
    </r>
    <r>
      <rPr>
        <sz val="13"/>
        <color indexed="8"/>
        <rFont val="Times New Roman"/>
        <family val="1"/>
      </rPr>
      <t>(4 điểm)</t>
    </r>
  </si>
  <si>
    <r>
      <t xml:space="preserve">Hoàn thành 80% mục tiêu công việc đã được xác định 
</t>
    </r>
    <r>
      <rPr>
        <sz val="13"/>
        <color indexed="8"/>
        <rFont val="Times New Roman"/>
        <family val="1"/>
      </rPr>
      <t>(8 điểm)</t>
    </r>
  </si>
  <si>
    <r>
      <t xml:space="preserve">Hoàn thành 100% mục tiêu công việc đã được xác định </t>
    </r>
    <r>
      <rPr>
        <sz val="13"/>
        <color indexed="8"/>
        <rFont val="Times New Roman"/>
        <family val="1"/>
      </rPr>
      <t>(10 điểm)</t>
    </r>
  </si>
  <si>
    <r>
      <t xml:space="preserve">Có sự phân công vai trò của các thành viên trong nhóm chăm sóc </t>
    </r>
    <r>
      <rPr>
        <sz val="13"/>
        <color indexed="8"/>
        <rFont val="Times New Roman"/>
        <family val="1"/>
      </rPr>
      <t>(4 điểm)</t>
    </r>
  </si>
  <si>
    <r>
      <t xml:space="preserve">Có sự phân công, hỗ trợ và chia sẻ thông tin trong nhóm </t>
    </r>
    <r>
      <rPr>
        <sz val="13"/>
        <color indexed="8"/>
        <rFont val="Times New Roman"/>
        <family val="1"/>
      </rPr>
      <t>(10 điểm)</t>
    </r>
  </si>
  <si>
    <t xml:space="preserve"> Nhân viên biết sử dụng thành thạo 1 phần mềm (Ris)
(2 điểm)</t>
  </si>
  <si>
    <t>Nhân viên biết sử dụng thành thạo 2 phần mềm (Ris và His)
(4 điểm)</t>
  </si>
  <si>
    <t>Nhân viên biết sử dụng USB để chụp hình từ bộ xử lý hình ảnh nội soi
(6 điểm)</t>
  </si>
  <si>
    <t>Tham gia 50% các bài sinh hoạt chuyên môn do bệnh viện tổ chức
(4 điểm)</t>
  </si>
  <si>
    <t>Chủ nhiệm đề tài cấp cơ sở, có công bố trên tạp chí trong nước (≥2 bài/năm);
Hoặc chủ nhiệm đề tài cấp Thành phố (tính 1 lần)</t>
  </si>
  <si>
    <r>
      <t xml:space="preserve">Hiểu được ý nghĩa các cận lâm sàng liên quan nội soi tiêu hoá
</t>
    </r>
    <r>
      <rPr>
        <sz val="13"/>
        <color indexed="8"/>
        <rFont val="Times New Roman"/>
        <family val="1"/>
      </rPr>
      <t>(6 điểm)</t>
    </r>
  </si>
  <si>
    <t>Đọc hiểu được chỉ định của bác sĩ phòng khám, khoa lâm sàng, tư vấn…Hiểu về tình trạng sức khỏe của người bệnh, các kết quả cận lâm sàng liên quan đến thủ thuật nội soi</t>
  </si>
  <si>
    <t xml:space="preserve">TIÊU CHUẨN 7.
Hiểu biết về tình trạng sức khỏe người bệnh và năng lực chuẩn bị dụng cụ thực hiện các thủ thuật nội soi </t>
  </si>
  <si>
    <r>
      <t>Chủ nhiệm đề tài cấp cơ sở, có công bố trên tạp chí trong nước (</t>
    </r>
    <r>
      <rPr>
        <sz val="12"/>
        <color indexed="8"/>
        <rFont val="Times New Roman"/>
        <family val="1"/>
      </rPr>
      <t>≥ 2 bài/năm);
Hoặc chủ nhiệm đề tài cấp Thành phố (tính 1 lần)</t>
    </r>
  </si>
  <si>
    <r>
      <rPr>
        <b/>
        <sz val="12"/>
        <color indexed="8"/>
        <rFont val="Times New Roman"/>
        <family val="1"/>
      </rPr>
      <t>Đối với Tiêu chí 66:</t>
    </r>
    <r>
      <rPr>
        <sz val="10"/>
        <color indexed="8"/>
        <rFont val="Times New Roman"/>
        <family val="1"/>
      </rPr>
      <t/>
    </r>
  </si>
  <si>
    <r>
      <t>A. Trung học/Cao đẳng</t>
    </r>
    <r>
      <rPr>
        <i/>
        <sz val="12"/>
        <color theme="1"/>
        <rFont val="Times New Roman"/>
        <family val="1"/>
      </rPr>
      <t xml:space="preserve"> </t>
    </r>
  </si>
  <si>
    <t xml:space="preserve">B. Đại học </t>
  </si>
  <si>
    <r>
      <t xml:space="preserve">Sử dụng công nghệ thông tin cơ bản
</t>
    </r>
    <r>
      <rPr>
        <i/>
        <sz val="12"/>
        <color theme="1"/>
        <rFont val="Times New Roman"/>
        <family val="1"/>
      </rPr>
      <t>(Theo Thông tư số 03/2014/TT-BTTTT)</t>
    </r>
  </si>
  <si>
    <r>
      <t xml:space="preserve">Sử dụng công nghệ thông tin nâng cao 
</t>
    </r>
    <r>
      <rPr>
        <i/>
        <sz val="12"/>
        <color theme="1"/>
        <rFont val="Times New Roman"/>
        <family val="1"/>
      </rPr>
      <t>(Theo Thông tư số 03/2014/TT-BTTTT)</t>
    </r>
  </si>
  <si>
    <r>
      <rPr>
        <b/>
        <sz val="12"/>
        <color theme="1"/>
        <rFont val="Times New Roman"/>
        <family val="1"/>
      </rPr>
      <t>Đối với Tiêu chí 66:</t>
    </r>
  </si>
  <si>
    <t>Nhân viên biết sử dụng thành thạo 2 phần mềm (Ris và His), nhập được thuốc hoặc vật tư y tế sử dụng cho người bệnh 
(6 điểm)</t>
  </si>
  <si>
    <t xml:space="preserve">Có khả năng truy cập kết quả, phân biệt kết quả, trả kết quả cho người bệnh đúng loại( Giải phẫu bệnh, kháng sinh đồ,  CLOTEST qua ngày…) </t>
  </si>
  <si>
    <t>Nhân viên biết sử dụng USB để chụp hình từ bộ xử lý hình ảnh nội soi và có khả năng chèn hình từ USB, in được hình ảnh trên tất cả máy in của khoa. Biết xử lý hình ảnh khi lỗi mạng nhưng cần sự trợ giúp  
(8 điểm)</t>
  </si>
  <si>
    <r>
      <t xml:space="preserve">Nhân viên biết sử dụng USB để chụp hình từ bộ xử lý hình ảnh nội soi và có khả năng chèn hình từ USB, in được hình ảnh trên tất cả máy in của khoa, biết xử lý hình ảnh khi lỗi mạng một cách độc lập. </t>
    </r>
    <r>
      <rPr>
        <sz val="13"/>
        <color indexed="8"/>
        <rFont val="Times New Roman"/>
        <family val="1"/>
      </rPr>
      <t xml:space="preserve">
(10 điểm)</t>
    </r>
  </si>
  <si>
    <r>
      <t xml:space="preserve">Nhận biết được các dấu hiệu sau: 
Sự thay đổi dấu hiệu sinh tồn </t>
    </r>
    <r>
      <rPr>
        <sz val="13"/>
        <color indexed="8"/>
        <rFont val="Times New Roman"/>
        <family val="1"/>
      </rPr>
      <t xml:space="preserve">(1 điểm); 
Tri giác và nhận thức của người bệnh về không gian, thời gian và con người (1 điểm)
</t>
    </r>
  </si>
  <si>
    <r>
      <t xml:space="preserve">Biết cách nhận biết và ghi nhận sự thay đổi của tri giác, dấu hiệu sinh tồn và các dấu hiệu đe dọa tính mạng của NB 
 </t>
    </r>
    <r>
      <rPr>
        <sz val="13"/>
        <color indexed="8"/>
        <rFont val="Times New Roman"/>
        <family val="1"/>
      </rPr>
      <t xml:space="preserve">(4 điểm)
</t>
    </r>
  </si>
  <si>
    <r>
      <t xml:space="preserve">Biết cách nhận biết và ghi nhận sự thay đổi của tri giác, dấu hiệu sinh tồn và các dấu hiệu đe dọa tính mạng của NB 
Kết quả đánh giá tình trạng NB đạt trên 80% mục tiêu mong muốn, nhưng chưa chuẩn xác. 
 </t>
    </r>
    <r>
      <rPr>
        <sz val="13"/>
        <color indexed="8"/>
        <rFont val="Times New Roman"/>
        <family val="1"/>
      </rPr>
      <t>(6 điểm)</t>
    </r>
  </si>
  <si>
    <r>
      <t xml:space="preserve">Thực hiện đầy đủ và độc lập trong đánh giá các dấu hiệu cảnh báo sớm.
Kết quả đánh giá tình trạng NB đạt đủ các mục tiêu mong muốn và chuẩn xác.
Tiên lượng được các thay đổi tình trạng người bệnh phù hợp với tình huống lâm sàng.
</t>
    </r>
    <r>
      <rPr>
        <sz val="13"/>
        <color indexed="8"/>
        <rFont val="Times New Roman"/>
        <family val="1"/>
      </rPr>
      <t xml:space="preserve">(8 điểm)
</t>
    </r>
  </si>
  <si>
    <r>
      <t xml:space="preserve">Thực hiện đầy đủ và độc lập trong đánh giá các dấu hiệu cảnh báo sớm.
Kết quả đánh giá tình trạng NB đạt đủ các mục tiêu mong muốn và chuẩn xác.
Tiên lượng được các thay đổi tình trạng người bệnh phù hợp với tình huống lâm sàng.
Biết cách giải thích các thay đổi bất thường dựa trên các đánh giá tình trạng lâm sàng người bệnh.
</t>
    </r>
    <r>
      <rPr>
        <sz val="13"/>
        <color indexed="8"/>
        <rFont val="Times New Roman"/>
        <family val="1"/>
      </rPr>
      <t xml:space="preserve">(10 điểm)
</t>
    </r>
  </si>
  <si>
    <t>Nhân viên biết các dụng cụ kẹp cầm máu tại khoa sử dụng, kích cở, biết sử dụng tay cầm gắng kẹp phù hợp. Biết xử lý khi tay cầm hoặc clip bị lỗi nhẹ. Biết theo dõi và phát hiện kịp thời những bất thường trong và sau khi thực hiện 80%  (8 điểm)</t>
  </si>
  <si>
    <t>Nhân viên biết các dụng cụ kẹp cầm máu tại khoa sử dụng, kích cở, biết sử dụng tay cầm gắng kẹp phù hợp.  Biết theo dõi và phát hiện kịp thời những bất thường trong và sau khi thực hiện 60% (6 điểm)</t>
  </si>
  <si>
    <t>Nhân viên biết các dụng cụ kẹp cầm máu tại khoa sử dụng, kích cở, biết sử dụng tay cầm gắng kẹp phù hợp, biết xử lý khi tay cầm hoặc clip bị lỗi nhẹ. Biết sử dụng thành thạo  dụng cụ kẹp cầm máu tại khoa và hỗ trợ bác sĩ thực hiện. Nhận biết được những dấu hiệu bất thường trong và sau thủ thuật100%  (10 điểm)</t>
  </si>
  <si>
    <t>Nhân viên biết các dụng cụ cắt polyp tại khoa. Biết theo dõi và phát hiện kịp thời những bất thường trong và sau khi thực hiện 60%
(12 điểm)</t>
  </si>
  <si>
    <t>Nhân viên biết các dụng cụ cắt polyp tại khoa, hỗ trợ Bác sĩ thực hiện thủ thuật cắt polyp. Biết theo dõi và phát hiện kịp thời những bất thường trong và sau khi thực hiện 80% 
(16 điểm)</t>
  </si>
  <si>
    <t>Nhân viên sử dụng thành thạo các dụng cụ cắt polyp, hỗ trợ bác sĩ cắt polyp dưới  1cm. Nhận biết được nhũng dấu hiệu bất thường trong và sau thủ thuật.
(20 điểm)</t>
  </si>
  <si>
    <t>Nhân viên biết các dụng cụ cắt polyp tại khoa sử dụng. Trình bày được các bất thường trong và sau khi thực hiện thủ thuật 
(8 điểm)</t>
  </si>
  <si>
    <t>Nhân viên chuẩn bị đầy đủ dụng cụ gấp dị vật dạ dày tại khoa đang sử dụng. Thực hiện đầy đủ các bước 80% Nhận biết được những dấu hiệu bất thường trong và sau thủ thuật nhưng cần sự hỗ trợ
(8 điểm)</t>
  </si>
  <si>
    <t>Nhân viên chuẩn bị đầy đủ dụng cụ gấp dị vật dạ dày tại khoa đang sử dụng,.Thực hiện đầy đủ các bước 100%. Nhận biết được những dấu hiệu bất thường trong và sau thủ thuật một cách độc lập 
(10 điểm)</t>
  </si>
  <si>
    <t>Nhân viên chuẩn bị đầy đủ dụng cụ gấp dị vật dạ dày tại khoa đang sử dụng. Thực hiện đầy đủ các bước 60%  (6 điểm)</t>
  </si>
  <si>
    <t>Nhân viên biết  và chuẩn bị đầy đủ các loại dụng cụ  phù hợp khi cắt polyp &gt;2 cm tại khoa sử dụng,  biết kết hợp các dụng cụ khác (kim chích cầm máu, Loop, clip). Thực hiện các bước 60%.(6 điểm)</t>
  </si>
  <si>
    <t xml:space="preserve">Nhân viên biết  và chuẩn bị đầy đủ các loạidụng cụ phù hợp khi cắt polyp &gt;2 cm tại khoa sử dụng, biết kết hợp các dụng cụ khác (kim chích cầm máu, Loop, clip). Nhận biết được những dấu hiệu bất thường trong và sau thủ thuật nhưng cần sự hỗ trợ (8 điểm)
</t>
  </si>
  <si>
    <t>Nhân viên biết  và chuẩn bị đầy đủ các loại dụng cụ  phù hợp khi cắt polyp &gt;2 cm tại khoa sử dụng, ngoài ra còn biết kết hợp các dụng cụ khác (kim chích cầm máu, Loop, clip). Nhận biết được những dấu hiệu bất thường trong và sau thủ thuật và xử trí độc lập, nắm được quy trình chuyển khoa khi cần thiết.
(10 điểm)</t>
  </si>
  <si>
    <t>Hỗ  trợ bác sĩ trong kỹ thuật nội soi đại tràng khó.</t>
  </si>
  <si>
    <t>Có kiến thức cơ bảnhỗ trợ Bác sĩ trong kỹ thuật nội soi đại tràng khó. Thực hiện các bước 60%. (6 điểm)</t>
  </si>
  <si>
    <t>Có kiến thức cơ bảnhỗ trợ Bác sĩ trong kỹ thuật nội soi đại tràng khó. Thực hiện các bước 80%. Nhận biết được những dấu hiệu bất thường trong và sau thủ thuật nhưng cần sự hỗ trợ (8 điểm )</t>
  </si>
  <si>
    <t>Có kiến thức cơ bảnhỗ trợ Bác sĩ trong kỹ thuật nội soi đại tràng khó. Thực hiện các bước 100%. Nhận biết được những dấu hiệu bất thường trong và sau thủ thuật nhưng không cần sự hỗ trợ (10 điểm)</t>
  </si>
  <si>
    <t>Chuẩn bị 100% các TTB vả VTYT, hỗ trợ bác sĩ nội soi đáp ứng đúng yếu cầu thủ thuật (20 điểm)</t>
  </si>
  <si>
    <t>Chuẩn bị 100% các các TTB vả VTYT, hỗ trợ bác sĩ nội soi đáp ứng đúng yếu cầu thủ thuật (10 điểm)</t>
  </si>
  <si>
    <r>
      <t xml:space="preserve">Thực hiện QTKT ĐD dưới sự hỗ trợ, hướng dẫn thường xuyên
</t>
    </r>
    <r>
      <rPr>
        <sz val="13"/>
        <color indexed="8"/>
        <rFont val="Times New Roman"/>
        <family val="1"/>
      </rPr>
      <t>(10 điểm)</t>
    </r>
  </si>
  <si>
    <t>Thực hiện QTKTĐD đầy đủ các bước, độc lập, thao tác đúng;  Đảm bảo an toàn người bệnh. Thỉnh thoảng còn cần sự giám sát
(30 điểm)</t>
  </si>
  <si>
    <t>Thực hiện độc lập,hoàn chỉnh QTKTĐD; Đảm bảo an toàn Người bệnh;  Xử lý được các tình huống đặc biệt; Có thể lý giải được các nguyên nhân và giải pháp trong QTKT khó
(40 điểm)</t>
  </si>
  <si>
    <t>Chuẩn bị  dụng cụ 50%,  chưa hỗ trợ được bác sĩ nội soi  (2 điểm)</t>
  </si>
  <si>
    <t>Chuẩn bị   dụng cụ và hỗ trợ bác sĩ nội soi từ   50%- 70%     (4 điểm)</t>
  </si>
  <si>
    <t>Chuẩn bị  dụng cụ hỗ trợ bác sĩ nội soi từ   70% - 80%  
(6 điểm)</t>
  </si>
  <si>
    <t>Chuẩn bị dụng cụ và  hỗ trợ bác sĩ nội soiị từ 90% 
(8 điểm)</t>
  </si>
  <si>
    <t>Chuẩn bị 50%  dụng cụ và chưa hỗ trợ được bác sĩ nội soi  (12 điểm)</t>
  </si>
  <si>
    <t>Chuẩn bị dụng cụ  và hỗ trợ bác sĩ nội soi từ   50%- 70%     (14 điểm)</t>
  </si>
  <si>
    <t>Chuẩn bị  dụng cụ và hỗ trợ bác sĩ nội soi từ    70% - 80%   
(16 điểm)</t>
  </si>
  <si>
    <t>Chuẩn bị dụng cụ và  hỗ trợ bác sĩ nội soiị từ 90% 
(18 điểm)</t>
  </si>
  <si>
    <t>Chuẩn bị  dụng cụ hỗ trợ bác sĩ nội soi từ   70% - 80%  (6 điểm)</t>
  </si>
  <si>
    <t>Chuẩn bị dụng cụ và  hỗ trợ bác sĩ nội soi từ 90% (8 điểm)</t>
  </si>
  <si>
    <t xml:space="preserve">Nhân viên biết sử dụng thành thạo 2 phần mềm, có khả năng nhập thuốc, vật tư  y tế theo chỉ định. Nắm được quy trình, quy định BHYT, hoàn trả thuốc, vật tư, hoàn tiền  nội soi.  (8 điểm). </t>
  </si>
  <si>
    <t>hân viên biết sử dụng thành thạo 2 phần mềm, có khả năng nhập thuốc, vật tư  y tế theo chỉ định. Nắm được quy trình, quy định BHYT, hoàn trả thuốc, vật tư, hoàn tiền  nội soi. Thống kê được số lượng người bệnh nội soi trên phần mền.     
(10 điểm)</t>
  </si>
  <si>
    <t>Nhân viên biết đọc kết quả giải phẫu bệnh, Clotes, biết được 2 thành phần cơ bản trong mẫu thử Clotest 
(8 điểm)</t>
  </si>
  <si>
    <t>Nhân viên biết đọc kết quả giải phẫu bệnh, Clotest báo kết quả Bác sĩ 
(6 điểm)</t>
  </si>
  <si>
    <t>Nhân viên biết đọc kết quả giải phẫu bệnh, Clotest, biết được các thành phần trong mẫu thử Clotest. Hiểu được cơ chế chủa Hpylori tác dụng lên mẫu thử Clotest. Có khả năng truy cập, phân biệt và trả kết quả đúng người bệnh. (10 điểm)</t>
  </si>
  <si>
    <t>Nhân viên biết các dụng cụ, VTYT cắt polyp sử dụng tại khoa, trình bài được các bất thường trong và sau khi thực hiện thủ thuật 
(4 điểm)</t>
  </si>
  <si>
    <t>Nhân viên chuẩn bị các dụng cụ, VTYT cắt polyp sử dụng tại khoa. Hỗ trợ Bác sĩ thực hiện thủ thuật nội soi cắt polyp. Biết theo dõi và phát hiện kịp thời những bất thường trong và sau khi thực hiện 60% 
(6 điểm)</t>
  </si>
  <si>
    <t>Nhân viên chuẩn bị các dụng cụ, VTYT cắt polyp sử dụng tại khoa. Hỗ trợ Bác sĩ thực hiện thủ thuật nội soi cắt polyp. Biết theo dõi và phát hiện kịp thời những bất thường trong và sau khi thực hiện nhưng vần còn cần sự hỗ trợ 80% 
(8 điểm)</t>
  </si>
  <si>
    <t>Nhân viên chuẩn bị các dụng cụ, VTYT cắt polyp sử dụng tại khoa. Hỗ trợ Bác sĩ thực hiện thủ thuật nội soi cắt polyp. Biết theo dõi và phát hiện kịp thời những bất thường trong và sau khi thực hiện độc lập 100% 
(10 điểm)</t>
  </si>
  <si>
    <t>Nhân viên biết các dụng cụ, VTYT trong thực hiện thủ thuật cầm máu tại khoa, trình bày được các bất thường trong và sau khi thực hiện thủ thuật 
(4 điểm)</t>
  </si>
  <si>
    <t>Nhân viên biết các dụng cụ VTYT  trong thực hiện thủ thuật cầm máu tại khoa. Biết theo dõi và phát hiện kịp thời những bất thường trong và sau khi thực hiện 60% (6 điểm)</t>
  </si>
  <si>
    <t>Nhân viên biết các dụng cụ,  VTYT trong thực hiện thủ thuật cầm máu tại khoa, biết các dung dịch tiêm nâng polyp, biết pha tỷ lệ Adrenalin để tiêm cầm máu. Biết theo dõi và phát hiện kịp thời những bất thường trong và sau khi thực hiện 80% 
(8 điểm)</t>
  </si>
  <si>
    <t>Nhân viên biết các dụng cụ,  VTYT trong thực hiện thủ thuật cầm máu tại khoa, biết các dung dịch tiêm nâng polyp, biết pha tỷ lệ Adrenalin để tiêm cầm máu. Biết theo dõi và phát hiện kịp thời những bất thường trong và sau khi thực hiện100%
(10 điểm)</t>
  </si>
  <si>
    <t xml:space="preserve">Nhân viên biết các dụng cụ kẹp cầm máu tại khoa sử dụng, kích cở. Trình bày được các bất thường trong và sau khi thực hiện thủ thuật (4 điểm) 
</t>
  </si>
  <si>
    <t>Nhân viên chuẩn bị đầy đủ dụng cụ gấp dị vật đại tràng nội soi .Thực hiện các bước 60%.
(6 điểm)</t>
  </si>
  <si>
    <t>Nhân viên biết các tên dụng cụ gấp dị vật nội soi  đại tràng, biết kết hợp với dụng cụ khác khi thực hiện thủ thuật. Nhận biết được những dấu hiệu bất thường trong và sau thủ thuật nhưng cần sự hỗ trợ .Thực hiện các bước 80%. (8 điểm)</t>
  </si>
  <si>
    <t>Nhân viên biết các tên dụng cụ gấp dị vật đại tràng, biết kết hợp với dụng cụ khác khi thực hiện thủ thuật. Nhận biết được những dấu hiệu bất thường trong và sau thủ thuật một cách độc lập . Thực hiện các bước 100%.
(10 điểm)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</si>
</sst>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86">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b/>
      <sz val="18"/>
      <color rgb="FF0070C0"/>
      <name val="Times New Roman"/>
      <family val="1"/>
    </font>
    <font>
      <b/>
      <sz val="10"/>
      <name val="Times New Roman"/>
      <family val="1"/>
    </font>
    <font>
      <sz val="10"/>
      <name val="Times New Roman"/>
      <family val="1"/>
    </font>
    <font>
      <sz val="11"/>
      <color theme="1"/>
      <name val="Times New Roman"/>
      <family val="1"/>
    </font>
    <font>
      <sz val="12"/>
      <name val="Times New Roman"/>
      <family val="1"/>
    </font>
    <font>
      <b/>
      <sz val="13"/>
      <color theme="1"/>
      <name val="Times New Roman"/>
      <family val="1"/>
    </font>
    <font>
      <b/>
      <sz val="13"/>
      <color theme="0"/>
      <name val="Times New Roman"/>
      <family val="1"/>
    </font>
    <font>
      <b/>
      <sz val="11"/>
      <color theme="2" tint="-0.249977111117893"/>
      <name val="Times New Roman"/>
      <family val="1"/>
    </font>
    <font>
      <b/>
      <sz val="16"/>
      <color theme="0"/>
      <name val="Times New Roman"/>
      <family val="1"/>
    </font>
    <font>
      <b/>
      <sz val="10"/>
      <color theme="0"/>
      <name val="Times New Roman"/>
      <family val="1"/>
    </font>
    <font>
      <i/>
      <sz val="10"/>
      <color theme="1"/>
      <name val="Times New Roman"/>
      <family val="1"/>
    </font>
    <font>
      <b/>
      <sz val="10"/>
      <color theme="1"/>
      <name val="Times New Roman"/>
      <family val="1"/>
    </font>
    <font>
      <i/>
      <sz val="10"/>
      <name val="Times New Roman"/>
      <family val="1"/>
    </font>
    <font>
      <b/>
      <i/>
      <sz val="10"/>
      <color theme="1"/>
      <name val="Times New Roman"/>
      <family val="1"/>
    </font>
    <font>
      <sz val="10"/>
      <color theme="1"/>
      <name val="Times New Roman"/>
      <family val="1"/>
    </font>
    <font>
      <sz val="12"/>
      <color theme="1" tint="4.9989318521683403E-2"/>
      <name val="Times New Roman"/>
      <family val="1"/>
    </font>
    <font>
      <sz val="12"/>
      <color indexed="8"/>
      <name val="Times New Roman"/>
      <family val="1"/>
    </font>
    <font>
      <b/>
      <sz val="13"/>
      <color theme="2" tint="-0.749992370372631"/>
      <name val="Times New Roman"/>
      <family val="1"/>
    </font>
    <font>
      <b/>
      <i/>
      <sz val="13"/>
      <color theme="1" tint="0.499984740745262"/>
      <name val="Times New Roman"/>
      <family val="1"/>
    </font>
    <font>
      <b/>
      <sz val="12"/>
      <color theme="3" tint="-0.249977111117893"/>
      <name val="Times New Roman"/>
      <family val="1"/>
    </font>
    <font>
      <b/>
      <sz val="11"/>
      <color theme="1"/>
      <name val="Times New Roman"/>
      <family val="1"/>
    </font>
    <font>
      <b/>
      <sz val="12"/>
      <color rgb="FFC00000"/>
      <name val="Times New Roman"/>
      <family val="1"/>
    </font>
    <font>
      <sz val="12"/>
      <color theme="5"/>
      <name val="Times New Roman"/>
      <family val="1"/>
    </font>
    <font>
      <sz val="10"/>
      <color indexed="10"/>
      <name val="Times New Roman"/>
      <family val="1"/>
    </font>
    <font>
      <i/>
      <sz val="10"/>
      <color indexed="10"/>
      <name val="Times New Roman"/>
      <family val="1"/>
    </font>
    <font>
      <i/>
      <sz val="10"/>
      <color theme="5"/>
      <name val="Times New Roman"/>
      <family val="1"/>
    </font>
    <font>
      <i/>
      <sz val="12"/>
      <color indexed="10"/>
      <name val="Times New Roman"/>
      <family val="1"/>
    </font>
    <font>
      <b/>
      <sz val="18"/>
      <color theme="6" tint="0.79998168889431442"/>
      <name val="Times New Roman"/>
      <family val="1"/>
    </font>
    <font>
      <b/>
      <sz val="18"/>
      <color theme="0"/>
      <name val="Times New Roman"/>
      <family val="1"/>
    </font>
    <font>
      <b/>
      <i/>
      <sz val="10"/>
      <color indexed="9"/>
      <name val="Times New Roman"/>
      <family val="1"/>
    </font>
    <font>
      <b/>
      <i/>
      <sz val="10"/>
      <color indexed="52"/>
      <name val="Times New Roman"/>
      <family val="1"/>
    </font>
    <font>
      <b/>
      <sz val="24"/>
      <color theme="1"/>
      <name val="Times New Roman"/>
      <family val="1"/>
    </font>
    <font>
      <b/>
      <sz val="14"/>
      <color theme="1"/>
      <name val="Times New Roman"/>
      <family val="1"/>
    </font>
    <font>
      <b/>
      <sz val="13"/>
      <name val="Times New Roman"/>
      <family val="1"/>
    </font>
    <font>
      <i/>
      <sz val="11"/>
      <name val="Times New Roman"/>
      <family val="1"/>
    </font>
    <font>
      <i/>
      <sz val="11"/>
      <color indexed="8"/>
      <name val="Times New Roman"/>
      <family val="1"/>
    </font>
    <font>
      <sz val="12"/>
      <color theme="0" tint="-0.34998626667073579"/>
      <name val="Times New Roman"/>
      <family val="1"/>
    </font>
    <font>
      <sz val="14"/>
      <name val="Times New Roman"/>
      <family val="1"/>
    </font>
    <font>
      <sz val="14"/>
      <name val="Calibri"/>
      <family val="2"/>
    </font>
    <font>
      <i/>
      <sz val="12"/>
      <color theme="1"/>
      <name val="Times New Roman"/>
      <family val="1"/>
    </font>
    <font>
      <sz val="13"/>
      <name val="Times New Roman"/>
      <family val="1"/>
    </font>
    <font>
      <sz val="13"/>
      <color theme="1"/>
      <name val="Times New Roman"/>
      <family val="1"/>
    </font>
    <font>
      <b/>
      <sz val="13"/>
      <color rgb="FF0070C0"/>
      <name val="Times New Roman"/>
      <family val="1"/>
    </font>
    <font>
      <b/>
      <sz val="14"/>
      <color rgb="FF0070C0"/>
      <name val="Times New Roman"/>
      <family val="1"/>
    </font>
    <font>
      <i/>
      <sz val="13"/>
      <color theme="1"/>
      <name val="Times New Roman"/>
      <family val="1"/>
    </font>
    <font>
      <b/>
      <sz val="13"/>
      <color theme="2" tint="-0.249977111117893"/>
      <name val="Times New Roman"/>
      <family val="1"/>
    </font>
    <font>
      <i/>
      <sz val="13"/>
      <color indexed="8"/>
      <name val="Times New Roman"/>
      <family val="1"/>
    </font>
    <font>
      <sz val="13"/>
      <color rgb="FF000000"/>
      <name val="Times New Roman"/>
      <family val="1"/>
      <charset val="163"/>
    </font>
    <font>
      <sz val="13"/>
      <color theme="1" tint="4.9989318521683403E-2"/>
      <name val="Times New Roman"/>
      <family val="1"/>
    </font>
    <font>
      <sz val="13"/>
      <color indexed="8"/>
      <name val="Times New Roman"/>
      <family val="1"/>
    </font>
    <font>
      <i/>
      <sz val="13"/>
      <name val="Times New Roman"/>
      <family val="1"/>
    </font>
    <font>
      <sz val="13"/>
      <color indexed="8"/>
      <name val="Calibri"/>
      <family val="2"/>
    </font>
    <font>
      <b/>
      <sz val="13"/>
      <color indexed="8"/>
      <name val="Times New Roman"/>
      <family val="1"/>
    </font>
    <font>
      <sz val="13"/>
      <color theme="0"/>
      <name val="Times New Roman"/>
      <family val="1"/>
    </font>
    <font>
      <sz val="12"/>
      <color theme="0"/>
      <name val="Times New Roman"/>
      <family val="1"/>
    </font>
    <font>
      <sz val="13"/>
      <color indexed="8"/>
      <name val="Arial"/>
      <family val="2"/>
    </font>
    <font>
      <sz val="13"/>
      <name val="Wingdings 3"/>
      <family val="1"/>
      <charset val="2"/>
    </font>
    <font>
      <sz val="10"/>
      <color theme="0"/>
      <name val="Times New Roman"/>
      <family val="1"/>
    </font>
    <font>
      <b/>
      <i/>
      <sz val="13"/>
      <color theme="0"/>
      <name val="Times New Roman"/>
      <family val="1"/>
    </font>
    <font>
      <b/>
      <sz val="13"/>
      <color theme="3" tint="-0.249977111117893"/>
      <name val="Times New Roman"/>
      <family val="1"/>
    </font>
    <font>
      <b/>
      <sz val="9"/>
      <name val="Times New Roman"/>
      <family val="1"/>
    </font>
    <font>
      <b/>
      <sz val="15"/>
      <color indexed="30"/>
      <name val="Times New Roman"/>
      <family val="1"/>
    </font>
    <font>
      <i/>
      <sz val="9"/>
      <color indexed="8"/>
      <name val="Times New Roman"/>
      <family val="1"/>
    </font>
    <font>
      <i/>
      <sz val="10"/>
      <color indexed="8"/>
      <name val="Times New Roman"/>
      <family val="1"/>
    </font>
    <font>
      <sz val="10"/>
      <color indexed="8"/>
      <name val="Times New Roman"/>
      <family val="1"/>
    </font>
    <font>
      <b/>
      <sz val="12"/>
      <color theme="1"/>
      <name val="Times New Roman"/>
      <charset val="134"/>
    </font>
    <font>
      <sz val="12"/>
      <color theme="1"/>
      <name val="Times New Roman"/>
      <charset val="134"/>
    </font>
    <font>
      <b/>
      <sz val="18"/>
      <color rgb="FF0070C0"/>
      <name val="Times New Roman"/>
      <charset val="134"/>
    </font>
    <font>
      <b/>
      <sz val="15"/>
      <color rgb="FF0070C0"/>
      <name val="Times New Roman"/>
      <charset val="134"/>
    </font>
    <font>
      <b/>
      <sz val="13"/>
      <color theme="0"/>
      <name val="Times New Roman"/>
      <charset val="134"/>
    </font>
    <font>
      <b/>
      <sz val="9"/>
      <name val="Tahoma"/>
      <charset val="134"/>
    </font>
    <font>
      <sz val="9"/>
      <name val="Tahoma"/>
      <charset val="134"/>
    </font>
    <font>
      <sz val="10"/>
      <color rgb="FFFF0000"/>
      <name val="Times New Roman"/>
      <family val="1"/>
    </font>
    <font>
      <b/>
      <sz val="12"/>
      <color theme="0"/>
      <name val="Times New Roman"/>
      <family val="1"/>
    </font>
    <font>
      <b/>
      <sz val="12"/>
      <color theme="2" tint="-0.249977111117893"/>
      <name val="Times New Roman"/>
      <family val="1"/>
    </font>
    <font>
      <b/>
      <sz val="12"/>
      <name val="Times New Roman"/>
      <family val="1"/>
    </font>
    <font>
      <i/>
      <sz val="12"/>
      <name val="Times New Roman"/>
      <family val="1"/>
    </font>
    <font>
      <b/>
      <sz val="12"/>
      <color theme="2" tint="-0.749992370372631"/>
      <name val="Times New Roman"/>
      <family val="1"/>
    </font>
    <font>
      <b/>
      <i/>
      <sz val="12"/>
      <color theme="1" tint="0.499984740745262"/>
      <name val="Times New Roman"/>
      <family val="1"/>
    </font>
    <font>
      <b/>
      <sz val="12"/>
      <color indexed="8"/>
      <name val="Times New Roman"/>
      <family val="1"/>
    </font>
    <font>
      <b/>
      <i/>
      <sz val="12"/>
      <color theme="1"/>
      <name val="Times New Roman"/>
      <family val="1"/>
    </font>
    <font>
      <sz val="13"/>
      <color rgb="FFFF0000"/>
      <name val="Times New Roman"/>
      <family val="1"/>
    </font>
  </fonts>
  <fills count="50">
    <fill>
      <patternFill patternType="none"/>
    </fill>
    <fill>
      <patternFill patternType="gray125"/>
    </fill>
    <fill>
      <patternFill patternType="solid">
        <fgColor theme="5" tint="0.79995117038483843"/>
        <bgColor indexed="64"/>
      </patternFill>
    </fill>
    <fill>
      <patternFill patternType="solid">
        <fgColor theme="5" tint="-0.499984740745262"/>
        <bgColor indexed="64"/>
      </patternFill>
    </fill>
    <fill>
      <patternFill patternType="solid">
        <fgColor theme="7" tint="0.79995117038483843"/>
        <bgColor indexed="64"/>
      </patternFill>
    </fill>
    <fill>
      <patternFill patternType="solid">
        <fgColor theme="7" tint="-0.499984740745262"/>
        <bgColor indexed="64"/>
      </patternFill>
    </fill>
    <fill>
      <patternFill patternType="solid">
        <fgColor theme="6" tint="0.79995117038483843"/>
        <bgColor indexed="64"/>
      </patternFill>
    </fill>
    <fill>
      <patternFill patternType="solid">
        <fgColor theme="6" tint="-0.499984740745262"/>
        <bgColor indexed="64"/>
      </patternFill>
    </fill>
    <fill>
      <patternFill patternType="solid">
        <fgColor theme="9" tint="0.79995117038483843"/>
        <bgColor indexed="64"/>
      </patternFill>
    </fill>
    <fill>
      <patternFill patternType="solid">
        <fgColor theme="9" tint="-0.499984740745262"/>
        <bgColor indexed="64"/>
      </patternFill>
    </fill>
    <fill>
      <patternFill patternType="solid">
        <fgColor theme="3" tint="0.79995117038483843"/>
        <bgColor indexed="64"/>
      </patternFill>
    </fill>
    <fill>
      <patternFill patternType="solid">
        <fgColor theme="3" tint="-0.249977111117893"/>
        <bgColor indexed="9"/>
      </patternFill>
    </fill>
    <fill>
      <patternFill patternType="solid">
        <fgColor theme="3" tint="-0.249977111117893"/>
        <bgColor indexed="64"/>
      </patternFill>
    </fill>
    <fill>
      <gradientFill type="path" left="1" right="1">
        <stop position="0">
          <color theme="0"/>
        </stop>
        <stop position="1">
          <color theme="4" tint="0.79998168889431442"/>
        </stop>
      </gradientFill>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6" tint="-0.499984740745262"/>
        <bgColor indexed="9"/>
      </patternFill>
    </fill>
    <fill>
      <patternFill patternType="solid">
        <fgColor theme="9" tint="0.79998168889431442"/>
        <bgColor indexed="64"/>
      </patternFill>
    </fill>
    <fill>
      <gradientFill type="path" left="1" right="1">
        <stop position="0">
          <color theme="0"/>
        </stop>
        <stop position="1">
          <color theme="4" tint="0.80001220740379042"/>
        </stop>
      </gradientFill>
    </fill>
    <fill>
      <gradientFill type="path" left="0.5" right="0.5" top="0.5" bottom="0.5">
        <stop position="0">
          <color theme="0"/>
        </stop>
        <stop position="1">
          <color theme="4"/>
        </stop>
      </gradientFill>
    </fill>
    <fill>
      <gradientFill degree="270">
        <stop position="0">
          <color theme="0"/>
        </stop>
        <stop position="1">
          <color theme="4"/>
        </stop>
      </gradientFill>
    </fill>
    <fill>
      <gradientFill degree="270">
        <stop position="0">
          <color theme="0"/>
        </stop>
        <stop position="1">
          <color theme="9"/>
        </stop>
      </gradientFill>
    </fill>
    <fill>
      <gradientFill degree="270">
        <stop position="0">
          <color theme="0"/>
        </stop>
        <stop position="1">
          <color theme="5"/>
        </stop>
      </gradientFill>
    </fill>
    <fill>
      <gradientFill degree="270">
        <stop position="0">
          <color theme="0"/>
        </stop>
        <stop position="1">
          <color rgb="FF00B0F0"/>
        </stop>
      </gradientFill>
    </fill>
    <fill>
      <gradientFill degree="270">
        <stop position="0">
          <color theme="0"/>
        </stop>
        <stop position="1">
          <color theme="7"/>
        </stop>
      </gradientFill>
    </fill>
    <fill>
      <gradientFill degree="270">
        <stop position="0">
          <color theme="0"/>
        </stop>
        <stop position="1">
          <color theme="8"/>
        </stop>
      </gradientFill>
    </fill>
    <fill>
      <patternFill patternType="solid">
        <fgColor theme="0"/>
      </patternFill>
    </fill>
    <fill>
      <gradientFill type="path" left="0.5" right="0.5" top="0.5" bottom="0.5">
        <stop position="0">
          <color theme="0"/>
        </stop>
        <stop position="1">
          <color theme="9"/>
        </stop>
      </gradientFill>
    </fill>
    <fill>
      <patternFill patternType="solid">
        <fgColor theme="5" tint="0.39997558519241921"/>
        <bgColor indexed="64"/>
      </patternFill>
    </fill>
    <fill>
      <patternFill patternType="solid">
        <fgColor theme="6"/>
        <bgColor indexed="64"/>
      </patternFill>
    </fill>
    <fill>
      <patternFill patternType="solid">
        <fgColor theme="7" tint="0.39997558519241921"/>
        <bgColor indexed="64"/>
      </patternFill>
    </fill>
    <fill>
      <patternFill patternType="solid">
        <fgColor theme="8"/>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6" tint="-0.249977111117893"/>
        <bgColor indexed="64"/>
      </patternFill>
    </fill>
    <fill>
      <patternFill patternType="solid">
        <fgColor theme="5" tint="0.79992065187536243"/>
        <bgColor indexed="64"/>
      </patternFill>
    </fill>
    <fill>
      <patternFill patternType="solid">
        <fgColor theme="7" tint="0.79992065187536243"/>
        <bgColor indexed="64"/>
      </patternFill>
    </fill>
    <fill>
      <patternFill patternType="solid">
        <fgColor theme="6" tint="0.79992065187536243"/>
        <bgColor indexed="64"/>
      </patternFill>
    </fill>
    <fill>
      <patternFill patternType="solid">
        <fgColor theme="9" tint="0.79992065187536243"/>
        <bgColor indexed="64"/>
      </patternFill>
    </fill>
    <fill>
      <patternFill patternType="solid">
        <fgColor theme="3" tint="0.79992065187536243"/>
        <bgColor indexed="64"/>
      </patternFill>
    </fill>
    <fill>
      <gradientFill type="path" left="1" right="1">
        <stop position="0">
          <color theme="0"/>
        </stop>
        <stop position="1">
          <color theme="4" tint="0.79995117038483843"/>
        </stop>
      </gradientFill>
    </fill>
    <fill>
      <patternFill patternType="solid">
        <fgColor rgb="FFFFFF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hair">
        <color auto="1"/>
      </right>
      <top style="thin">
        <color auto="1"/>
      </top>
      <bottom/>
      <diagonal/>
    </border>
    <border>
      <left style="hair">
        <color auto="1"/>
      </left>
      <right style="hair">
        <color auto="1"/>
      </right>
      <top style="thin">
        <color auto="1"/>
      </top>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right style="hair">
        <color auto="1"/>
      </right>
      <top/>
      <bottom/>
      <diagonal/>
    </border>
    <border>
      <left style="hair">
        <color auto="1"/>
      </left>
      <right style="hair">
        <color auto="1"/>
      </right>
      <top/>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right style="hair">
        <color auto="1"/>
      </right>
      <top style="hair">
        <color auto="1"/>
      </top>
      <bottom style="hair">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style="thin">
        <color auto="1"/>
      </top>
      <bottom style="hair">
        <color auto="1"/>
      </bottom>
      <diagonal/>
    </border>
    <border>
      <left style="hair">
        <color auto="1"/>
      </left>
      <right style="thin">
        <color auto="1"/>
      </right>
      <top style="hair">
        <color auto="1"/>
      </top>
      <bottom style="hair">
        <color auto="1"/>
      </bottom>
      <diagonal/>
    </border>
    <border>
      <left/>
      <right style="hair">
        <color auto="1"/>
      </right>
      <top/>
      <bottom style="thin">
        <color auto="1"/>
      </bottom>
      <diagonal/>
    </border>
    <border>
      <left style="hair">
        <color auto="1"/>
      </left>
      <right style="hair">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thin">
        <color auto="1"/>
      </left>
      <right style="hair">
        <color auto="1"/>
      </right>
      <top style="thin">
        <color auto="1"/>
      </top>
      <bottom/>
      <diagonal/>
    </border>
    <border>
      <left style="thin">
        <color auto="1"/>
      </left>
      <right style="hair">
        <color auto="1"/>
      </right>
      <top/>
      <bottom/>
      <diagonal/>
    </border>
    <border>
      <left style="thin">
        <color auto="1"/>
      </left>
      <right style="hair">
        <color auto="1"/>
      </right>
      <top/>
      <bottom style="thin">
        <color auto="1"/>
      </bottom>
      <diagonal/>
    </border>
    <border>
      <left style="thin">
        <color auto="1"/>
      </left>
      <right/>
      <top/>
      <bottom/>
      <diagonal/>
    </border>
    <border>
      <left/>
      <right style="thin">
        <color indexed="64"/>
      </right>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hair">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right/>
      <top style="hair">
        <color auto="1"/>
      </top>
      <bottom style="thin">
        <color auto="1"/>
      </bottom>
      <diagonal/>
    </border>
    <border>
      <left style="hair">
        <color auto="1"/>
      </left>
      <right/>
      <top/>
      <bottom style="hair">
        <color auto="1"/>
      </bottom>
      <diagonal/>
    </border>
    <border>
      <left/>
      <right style="hair">
        <color auto="1"/>
      </right>
      <top/>
      <bottom style="hair">
        <color auto="1"/>
      </bottom>
      <diagonal/>
    </border>
    <border>
      <left style="hair">
        <color auto="1"/>
      </left>
      <right/>
      <top/>
      <bottom/>
      <diagonal/>
    </border>
    <border>
      <left style="hair">
        <color auto="1"/>
      </left>
      <right/>
      <top/>
      <bottom style="thin">
        <color auto="1"/>
      </bottom>
      <diagonal/>
    </border>
    <border>
      <left style="hair">
        <color auto="1"/>
      </left>
      <right style="thin">
        <color auto="1"/>
      </right>
      <top style="thin">
        <color auto="1"/>
      </top>
      <bottom/>
      <diagonal/>
    </border>
    <border>
      <left style="thin">
        <color indexed="64"/>
      </left>
      <right/>
      <top/>
      <bottom style="hair">
        <color indexed="64"/>
      </bottom>
      <diagonal/>
    </border>
  </borders>
  <cellStyleXfs count="4">
    <xf numFmtId="0" fontId="0" fillId="0" borderId="0"/>
    <xf numFmtId="43" fontId="1" fillId="0" borderId="0" applyFont="0" applyFill="0" applyBorder="0" applyAlignment="0" applyProtection="0"/>
    <xf numFmtId="0" fontId="1" fillId="0" borderId="0"/>
    <xf numFmtId="0" fontId="1" fillId="0" borderId="0"/>
  </cellStyleXfs>
  <cellXfs count="725">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164" fontId="2" fillId="0" borderId="0" xfId="1" applyNumberFormat="1" applyFont="1" applyAlignment="1">
      <alignment horizontal="center" vertical="center"/>
    </xf>
    <xf numFmtId="0" fontId="3" fillId="0" borderId="0" xfId="0" applyFont="1" applyAlignment="1">
      <alignment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vertical="center"/>
    </xf>
    <xf numFmtId="0" fontId="5" fillId="0" borderId="1" xfId="0" applyFont="1" applyBorder="1" applyAlignment="1">
      <alignment vertical="center" wrapText="1"/>
    </xf>
    <xf numFmtId="0" fontId="7" fillId="0" borderId="0" xfId="0" applyFont="1" applyAlignment="1">
      <alignment vertical="center"/>
    </xf>
    <xf numFmtId="0" fontId="8" fillId="0" borderId="0" xfId="0" applyFont="1" applyAlignment="1">
      <alignment horizontal="center" vertical="center" wrapText="1"/>
    </xf>
    <xf numFmtId="0" fontId="8" fillId="0" borderId="0" xfId="0" applyFont="1" applyAlignment="1">
      <alignment horizontal="center" vertical="center"/>
    </xf>
    <xf numFmtId="0" fontId="11" fillId="3" borderId="7" xfId="0" applyFont="1" applyFill="1" applyBorder="1" applyAlignment="1">
      <alignment horizontal="center" vertical="center" wrapText="1"/>
    </xf>
    <xf numFmtId="0" fontId="10" fillId="0" borderId="0" xfId="0" applyFont="1" applyAlignment="1">
      <alignment vertical="center"/>
    </xf>
    <xf numFmtId="164" fontId="12" fillId="3" borderId="10" xfId="0" applyNumberFormat="1" applyFont="1" applyFill="1" applyBorder="1" applyAlignment="1">
      <alignment horizontal="right" vertical="center" wrapText="1"/>
    </xf>
    <xf numFmtId="0" fontId="3" fillId="0" borderId="13" xfId="0" applyFont="1" applyBorder="1" applyAlignment="1">
      <alignment vertical="center" wrapText="1"/>
    </xf>
    <xf numFmtId="164" fontId="3" fillId="0" borderId="14" xfId="1" applyNumberFormat="1" applyFont="1" applyFill="1" applyBorder="1" applyAlignment="1">
      <alignment horizontal="center" vertical="center" wrapText="1"/>
    </xf>
    <xf numFmtId="0" fontId="3" fillId="0" borderId="0" xfId="0" applyFont="1" applyAlignment="1">
      <alignment vertical="center" wrapText="1"/>
    </xf>
    <xf numFmtId="0" fontId="3" fillId="0" borderId="17" xfId="0" applyFont="1" applyBorder="1" applyAlignment="1">
      <alignment vertical="center" wrapText="1"/>
    </xf>
    <xf numFmtId="164" fontId="3" fillId="0" borderId="19" xfId="1" applyNumberFormat="1" applyFont="1" applyFill="1" applyBorder="1" applyAlignment="1">
      <alignment horizontal="center" vertical="center" wrapText="1"/>
    </xf>
    <xf numFmtId="0" fontId="3" fillId="0" borderId="22" xfId="0" applyFont="1" applyBorder="1" applyAlignment="1">
      <alignment vertical="center" wrapText="1"/>
    </xf>
    <xf numFmtId="164" fontId="3" fillId="0" borderId="23" xfId="1" applyNumberFormat="1" applyFont="1" applyFill="1" applyBorder="1" applyAlignment="1">
      <alignment horizontal="center" vertical="center" wrapText="1"/>
    </xf>
    <xf numFmtId="0" fontId="3" fillId="0" borderId="24" xfId="0" applyFont="1" applyBorder="1" applyAlignment="1">
      <alignment horizontal="center" vertical="center" wrapText="1"/>
    </xf>
    <xf numFmtId="0" fontId="3" fillId="0" borderId="13" xfId="0" applyFont="1" applyBorder="1" applyAlignment="1">
      <alignment horizontal="left" vertical="center" wrapText="1"/>
    </xf>
    <xf numFmtId="164" fontId="3" fillId="0" borderId="13" xfId="1" applyNumberFormat="1" applyFont="1" applyFill="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left" vertical="center" wrapText="1"/>
    </xf>
    <xf numFmtId="164" fontId="3" fillId="0" borderId="22" xfId="1" applyNumberFormat="1" applyFont="1" applyFill="1" applyBorder="1" applyAlignment="1">
      <alignment horizontal="center" vertical="center" wrapText="1"/>
    </xf>
    <xf numFmtId="164" fontId="3" fillId="0" borderId="25" xfId="1" applyNumberFormat="1" applyFont="1" applyFill="1" applyBorder="1" applyAlignment="1">
      <alignment horizontal="center" vertical="center" wrapText="1"/>
    </xf>
    <xf numFmtId="0" fontId="15" fillId="0" borderId="0" xfId="0" applyFont="1"/>
    <xf numFmtId="0" fontId="3" fillId="0" borderId="0" xfId="0" applyFont="1" applyAlignment="1">
      <alignment wrapText="1"/>
    </xf>
    <xf numFmtId="0" fontId="16" fillId="0" borderId="0" xfId="0" applyFont="1" applyAlignment="1">
      <alignment wrapText="1"/>
    </xf>
    <xf numFmtId="0" fontId="5" fillId="0" borderId="0" xfId="0" applyFont="1" applyAlignment="1">
      <alignment wrapText="1"/>
    </xf>
    <xf numFmtId="0" fontId="17" fillId="0" borderId="0" xfId="0" applyFont="1" applyAlignment="1">
      <alignment vertical="center"/>
    </xf>
    <xf numFmtId="0" fontId="18" fillId="0" borderId="0" xfId="0" applyFont="1" applyAlignment="1">
      <alignment vertical="center" wrapText="1"/>
    </xf>
    <xf numFmtId="0" fontId="5" fillId="0" borderId="0" xfId="0" applyFont="1" applyAlignment="1">
      <alignment horizontal="left" vertical="center" wrapText="1"/>
    </xf>
    <xf numFmtId="0" fontId="18" fillId="0" borderId="0" xfId="0" applyFont="1" applyAlignment="1">
      <alignment vertical="center"/>
    </xf>
    <xf numFmtId="0" fontId="18" fillId="0" borderId="0" xfId="0" quotePrefix="1" applyFont="1" applyAlignment="1">
      <alignment horizontal="left" vertical="center" wrapText="1"/>
    </xf>
    <xf numFmtId="0" fontId="18" fillId="0" borderId="0" xfId="0" applyFont="1" applyAlignment="1">
      <alignment horizontal="left" vertical="center" wrapText="1"/>
    </xf>
    <xf numFmtId="0" fontId="18" fillId="0" borderId="0" xfId="0" quotePrefix="1" applyFont="1" applyAlignment="1">
      <alignment vertical="center"/>
    </xf>
    <xf numFmtId="0" fontId="18" fillId="0" borderId="0" xfId="0" quotePrefix="1" applyFont="1" applyAlignment="1">
      <alignment horizontal="right" vertical="center" wrapText="1"/>
    </xf>
    <xf numFmtId="0" fontId="10" fillId="5" borderId="9" xfId="0" applyFont="1" applyFill="1" applyBorder="1" applyAlignment="1">
      <alignment horizontal="center" vertical="center" wrapText="1"/>
    </xf>
    <xf numFmtId="0" fontId="3" fillId="0" borderId="13"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7" xfId="0" applyFont="1" applyBorder="1" applyAlignment="1">
      <alignment horizontal="left" vertical="center" wrapText="1"/>
    </xf>
    <xf numFmtId="0" fontId="3" fillId="0" borderId="2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17" xfId="0" applyFont="1" applyBorder="1" applyAlignment="1">
      <alignment horizontal="center" vertical="center" wrapText="1"/>
    </xf>
    <xf numFmtId="0" fontId="8" fillId="0" borderId="17" xfId="0" applyFont="1" applyBorder="1" applyAlignment="1">
      <alignment vertical="center" wrapText="1"/>
    </xf>
    <xf numFmtId="0" fontId="8" fillId="0" borderId="17" xfId="0" applyFont="1" applyBorder="1" applyAlignment="1">
      <alignment horizontal="center" vertical="center" wrapText="1"/>
    </xf>
    <xf numFmtId="0" fontId="8" fillId="0" borderId="0" xfId="0" applyFont="1" applyAlignment="1">
      <alignment vertical="center"/>
    </xf>
    <xf numFmtId="0" fontId="19" fillId="0" borderId="22" xfId="0" applyFont="1" applyBorder="1" applyAlignment="1">
      <alignment horizontal="center" vertical="center" wrapText="1"/>
    </xf>
    <xf numFmtId="164" fontId="8" fillId="0" borderId="23" xfId="1" applyNumberFormat="1" applyFont="1" applyFill="1" applyBorder="1" applyAlignment="1">
      <alignment horizontal="center" vertical="center" wrapText="1"/>
    </xf>
    <xf numFmtId="0" fontId="10" fillId="7" borderId="6" xfId="0" applyFont="1" applyFill="1" applyBorder="1" applyAlignment="1">
      <alignment horizontal="center" vertical="center"/>
    </xf>
    <xf numFmtId="0" fontId="11" fillId="7" borderId="7" xfId="0" applyFont="1" applyFill="1" applyBorder="1" applyAlignment="1">
      <alignment horizontal="center" vertical="center" wrapText="1"/>
    </xf>
    <xf numFmtId="0" fontId="10" fillId="7" borderId="9" xfId="0" applyFont="1" applyFill="1" applyBorder="1" applyAlignment="1">
      <alignment horizontal="center" vertical="center"/>
    </xf>
    <xf numFmtId="0" fontId="3" fillId="0" borderId="13" xfId="0" applyFont="1" applyBorder="1" applyAlignment="1">
      <alignment horizontal="left" vertical="center"/>
    </xf>
    <xf numFmtId="0" fontId="10" fillId="9" borderId="6" xfId="0" applyFont="1" applyFill="1" applyBorder="1" applyAlignment="1">
      <alignment horizontal="center" vertical="center"/>
    </xf>
    <xf numFmtId="0" fontId="11" fillId="9" borderId="7" xfId="0" applyFont="1" applyFill="1" applyBorder="1" applyAlignment="1">
      <alignment horizontal="center" vertical="center" wrapText="1"/>
    </xf>
    <xf numFmtId="0" fontId="10" fillId="9" borderId="9" xfId="0" applyFont="1" applyFill="1" applyBorder="1" applyAlignment="1">
      <alignment horizontal="center" vertical="center"/>
    </xf>
    <xf numFmtId="164" fontId="8" fillId="0" borderId="25" xfId="1" applyNumberFormat="1" applyFont="1" applyFill="1" applyBorder="1" applyAlignment="1">
      <alignment horizontal="center" vertical="center" wrapText="1"/>
    </xf>
    <xf numFmtId="0" fontId="3" fillId="0" borderId="0" xfId="0" applyFont="1" applyAlignment="1">
      <alignment horizontal="left" vertical="center" wrapText="1"/>
    </xf>
    <xf numFmtId="0" fontId="22" fillId="11" borderId="6" xfId="0" applyFont="1" applyFill="1" applyBorder="1" applyAlignment="1">
      <alignment horizontal="center" vertical="center"/>
    </xf>
    <xf numFmtId="0" fontId="11" fillId="12" borderId="7" xfId="0" applyFont="1" applyFill="1" applyBorder="1" applyAlignment="1">
      <alignment horizontal="center" vertical="center" wrapText="1"/>
    </xf>
    <xf numFmtId="0" fontId="22" fillId="11" borderId="9" xfId="0" applyFont="1" applyFill="1" applyBorder="1" applyAlignment="1">
      <alignment horizontal="center" vertical="center"/>
    </xf>
    <xf numFmtId="0" fontId="3" fillId="0" borderId="18" xfId="0" applyFont="1" applyBorder="1" applyAlignment="1">
      <alignment vertical="center" wrapText="1"/>
    </xf>
    <xf numFmtId="164" fontId="3" fillId="14" borderId="25" xfId="1" applyNumberFormat="1" applyFont="1" applyFill="1" applyBorder="1" applyAlignment="1">
      <alignment horizontal="center" vertical="center" wrapText="1"/>
    </xf>
    <xf numFmtId="0" fontId="25" fillId="0" borderId="0" xfId="0" applyFont="1" applyAlignment="1">
      <alignment vertical="center"/>
    </xf>
    <xf numFmtId="0" fontId="25" fillId="0" borderId="0" xfId="0" applyFont="1" applyAlignment="1">
      <alignment horizontal="center" vertical="center"/>
    </xf>
    <xf numFmtId="0" fontId="25" fillId="0" borderId="0" xfId="0" applyFont="1" applyAlignment="1">
      <alignment horizontal="left" vertical="center"/>
    </xf>
    <xf numFmtId="164" fontId="25" fillId="0" borderId="0" xfId="1" applyNumberFormat="1" applyFont="1" applyAlignment="1">
      <alignment horizontal="center" vertical="center"/>
    </xf>
    <xf numFmtId="164" fontId="12" fillId="3" borderId="37" xfId="0" applyNumberFormat="1" applyFont="1" applyFill="1" applyBorder="1" applyAlignment="1">
      <alignment horizontal="right" vertical="center" wrapText="1"/>
    </xf>
    <xf numFmtId="0" fontId="26" fillId="0" borderId="13" xfId="0" applyFont="1" applyBorder="1" applyAlignment="1">
      <alignment vertical="center" wrapText="1"/>
    </xf>
    <xf numFmtId="164" fontId="26" fillId="0" borderId="14" xfId="1" applyNumberFormat="1" applyFont="1" applyFill="1" applyBorder="1" applyAlignment="1">
      <alignment horizontal="center" vertical="center" wrapText="1"/>
    </xf>
    <xf numFmtId="0" fontId="26" fillId="0" borderId="17" xfId="0" applyFont="1" applyBorder="1" applyAlignment="1">
      <alignment vertical="center" wrapText="1"/>
    </xf>
    <xf numFmtId="164" fontId="26" fillId="0" borderId="25" xfId="1" applyNumberFormat="1" applyFont="1" applyFill="1" applyBorder="1" applyAlignment="1">
      <alignment horizontal="center" vertical="center" wrapText="1"/>
    </xf>
    <xf numFmtId="0" fontId="3" fillId="0" borderId="39" xfId="0" applyFont="1" applyBorder="1" applyAlignment="1">
      <alignment horizontal="center" vertical="center" wrapText="1"/>
    </xf>
    <xf numFmtId="0" fontId="3" fillId="0" borderId="39" xfId="0" applyFont="1" applyBorder="1" applyAlignment="1">
      <alignment horizontal="left" vertical="center" wrapText="1"/>
    </xf>
    <xf numFmtId="164" fontId="3" fillId="0" borderId="39" xfId="1" applyNumberFormat="1" applyFont="1" applyFill="1" applyBorder="1" applyAlignment="1">
      <alignment vertical="center" wrapText="1"/>
    </xf>
    <xf numFmtId="164" fontId="3" fillId="0" borderId="40" xfId="1" applyNumberFormat="1" applyFont="1" applyFill="1" applyBorder="1" applyAlignment="1">
      <alignment horizontal="center" vertical="center" wrapText="1"/>
    </xf>
    <xf numFmtId="0" fontId="10" fillId="5" borderId="0" xfId="0" applyFont="1" applyFill="1" applyAlignment="1">
      <alignment horizontal="center" vertical="center" wrapText="1"/>
    </xf>
    <xf numFmtId="0" fontId="11" fillId="5" borderId="37" xfId="0" applyFont="1" applyFill="1" applyBorder="1" applyAlignment="1">
      <alignment horizontal="center" vertical="center" wrapText="1"/>
    </xf>
    <xf numFmtId="0" fontId="12" fillId="5" borderId="9" xfId="0" applyFont="1" applyFill="1" applyBorder="1" applyAlignment="1">
      <alignment horizontal="right" vertical="center" wrapText="1"/>
    </xf>
    <xf numFmtId="0" fontId="19" fillId="0" borderId="13" xfId="0" applyFont="1" applyBorder="1" applyAlignment="1">
      <alignment vertical="center" wrapText="1"/>
    </xf>
    <xf numFmtId="0" fontId="19" fillId="0" borderId="17" xfId="0" applyFont="1" applyBorder="1" applyAlignment="1">
      <alignment vertical="center" wrapText="1"/>
    </xf>
    <xf numFmtId="0" fontId="19" fillId="0" borderId="22" xfId="0" applyFont="1" applyBorder="1" applyAlignment="1">
      <alignment vertical="center" wrapText="1"/>
    </xf>
    <xf numFmtId="0" fontId="3" fillId="0" borderId="39" xfId="0" applyFont="1" applyBorder="1" applyAlignment="1">
      <alignment vertical="center" wrapText="1"/>
    </xf>
    <xf numFmtId="164" fontId="3" fillId="0" borderId="22" xfId="1" applyNumberFormat="1" applyFont="1" applyFill="1" applyBorder="1" applyAlignment="1">
      <alignment horizontal="left" vertical="center" wrapText="1"/>
    </xf>
    <xf numFmtId="164" fontId="31" fillId="19" borderId="10" xfId="0" applyNumberFormat="1" applyFont="1" applyFill="1" applyBorder="1" applyAlignment="1">
      <alignment vertical="center"/>
    </xf>
    <xf numFmtId="0" fontId="3" fillId="0" borderId="18" xfId="0" applyFont="1" applyBorder="1" applyAlignment="1">
      <alignment horizontal="center" vertical="center" wrapText="1"/>
    </xf>
    <xf numFmtId="0" fontId="3" fillId="0" borderId="18" xfId="0" applyFont="1" applyBorder="1" applyAlignment="1">
      <alignment horizontal="left" vertical="center" wrapText="1"/>
    </xf>
    <xf numFmtId="164" fontId="32" fillId="9" borderId="10" xfId="0" applyNumberFormat="1" applyFont="1" applyFill="1" applyBorder="1" applyAlignment="1">
      <alignment horizontal="center" vertical="center" wrapText="1"/>
    </xf>
    <xf numFmtId="164" fontId="32" fillId="11" borderId="10" xfId="0" applyNumberFormat="1" applyFont="1" applyFill="1" applyBorder="1" applyAlignment="1">
      <alignment vertical="center"/>
    </xf>
    <xf numFmtId="164" fontId="3" fillId="0" borderId="19" xfId="1" applyNumberFormat="1" applyFont="1" applyFill="1" applyBorder="1" applyAlignment="1">
      <alignment vertical="center" wrapText="1"/>
    </xf>
    <xf numFmtId="164" fontId="3" fillId="0" borderId="25" xfId="1" applyNumberFormat="1" applyFont="1" applyFill="1" applyBorder="1" applyAlignment="1">
      <alignment vertical="center" wrapText="1"/>
    </xf>
    <xf numFmtId="164" fontId="2" fillId="0" borderId="0" xfId="1" applyNumberFormat="1" applyFont="1" applyAlignment="1">
      <alignment vertical="center"/>
    </xf>
    <xf numFmtId="0" fontId="37" fillId="23" borderId="1" xfId="0" applyFont="1" applyFill="1" applyBorder="1" applyAlignment="1">
      <alignment horizontal="center" vertical="center"/>
    </xf>
    <xf numFmtId="0" fontId="37" fillId="24" borderId="1" xfId="0" applyFont="1" applyFill="1" applyBorder="1" applyAlignment="1">
      <alignment horizontal="center" vertical="center" wrapText="1"/>
    </xf>
    <xf numFmtId="0" fontId="37" fillId="25" borderId="1" xfId="0" applyFont="1" applyFill="1" applyBorder="1" applyAlignment="1">
      <alignment horizontal="center" vertical="center" wrapText="1"/>
    </xf>
    <xf numFmtId="0" fontId="37" fillId="26" borderId="1" xfId="0" applyFont="1" applyFill="1" applyBorder="1" applyAlignment="1">
      <alignment horizontal="center" vertical="center" wrapText="1"/>
    </xf>
    <xf numFmtId="0" fontId="37" fillId="27" borderId="1" xfId="0" applyFont="1" applyFill="1" applyBorder="1" applyAlignment="1">
      <alignment horizontal="center" vertical="center" wrapText="1"/>
    </xf>
    <xf numFmtId="0" fontId="37" fillId="28" borderId="1" xfId="0" applyFont="1" applyFill="1" applyBorder="1" applyAlignment="1">
      <alignment horizontal="center" vertical="center" wrapText="1"/>
    </xf>
    <xf numFmtId="0" fontId="38" fillId="29" borderId="1" xfId="0" applyFont="1" applyFill="1" applyBorder="1" applyAlignment="1">
      <alignment horizontal="center" vertical="center"/>
    </xf>
    <xf numFmtId="0" fontId="38" fillId="29" borderId="1" xfId="0" applyFont="1" applyFill="1" applyBorder="1" applyAlignment="1">
      <alignment horizontal="center" vertical="center" wrapText="1"/>
    </xf>
    <xf numFmtId="0" fontId="37" fillId="22" borderId="1" xfId="0" applyFont="1" applyFill="1" applyBorder="1" applyAlignment="1">
      <alignment horizontal="center" vertical="center"/>
    </xf>
    <xf numFmtId="0" fontId="3" fillId="0" borderId="1" xfId="0" applyFont="1" applyBorder="1" applyAlignment="1">
      <alignment horizontal="center" vertical="center" wrapText="1"/>
    </xf>
    <xf numFmtId="0" fontId="8" fillId="0" borderId="1" xfId="0" applyFont="1" applyBorder="1" applyAlignment="1">
      <alignment horizontal="center" vertical="center" wrapText="1"/>
    </xf>
    <xf numFmtId="0" fontId="24" fillId="0" borderId="1" xfId="0" applyFont="1" applyBorder="1" applyAlignment="1">
      <alignment horizontal="left" vertical="center"/>
    </xf>
    <xf numFmtId="0" fontId="3" fillId="0" borderId="1" xfId="0" applyFont="1" applyBorder="1" applyAlignment="1">
      <alignment horizontal="center" vertical="center"/>
    </xf>
    <xf numFmtId="164" fontId="3" fillId="0" borderId="1" xfId="1" applyNumberFormat="1" applyFont="1" applyBorder="1" applyAlignment="1">
      <alignment horizontal="center" vertical="center" wrapText="1"/>
    </xf>
    <xf numFmtId="0" fontId="8" fillId="0" borderId="1" xfId="0" applyFont="1" applyBorder="1" applyAlignment="1">
      <alignment horizontal="center" vertical="center"/>
    </xf>
    <xf numFmtId="0" fontId="24" fillId="0" borderId="1" xfId="0" applyFont="1" applyBorder="1" applyAlignment="1">
      <alignment horizontal="left" vertical="center" wrapText="1"/>
    </xf>
    <xf numFmtId="0" fontId="8" fillId="0" borderId="1" xfId="0" applyFont="1" applyBorder="1" applyAlignment="1">
      <alignment horizontal="left" vertical="center" wrapText="1"/>
    </xf>
    <xf numFmtId="0" fontId="40" fillId="0" borderId="1" xfId="0" applyFont="1" applyBorder="1" applyAlignment="1">
      <alignment horizontal="left" vertical="center" wrapText="1"/>
    </xf>
    <xf numFmtId="0" fontId="41" fillId="0" borderId="1" xfId="0" applyFont="1" applyBorder="1" applyAlignment="1">
      <alignment horizontal="center" vertical="center"/>
    </xf>
    <xf numFmtId="0" fontId="43" fillId="0" borderId="0" xfId="0" applyFont="1" applyAlignment="1">
      <alignment horizontal="left" vertical="center"/>
    </xf>
    <xf numFmtId="0" fontId="43" fillId="0" borderId="0" xfId="0" applyFont="1" applyAlignment="1">
      <alignment horizontal="center" vertical="center"/>
    </xf>
    <xf numFmtId="0" fontId="44" fillId="14" borderId="0" xfId="0" applyFont="1" applyFill="1" applyAlignment="1">
      <alignment vertical="center"/>
    </xf>
    <xf numFmtId="0" fontId="9" fillId="0" borderId="0" xfId="0" applyFont="1" applyAlignment="1">
      <alignment horizontal="center" vertical="center"/>
    </xf>
    <xf numFmtId="0" fontId="9" fillId="0" borderId="0" xfId="0" applyFont="1" applyAlignment="1">
      <alignment horizontal="left" vertical="center"/>
    </xf>
    <xf numFmtId="164" fontId="9" fillId="0" borderId="0" xfId="1" applyNumberFormat="1" applyFont="1" applyBorder="1" applyAlignment="1">
      <alignment vertical="center"/>
    </xf>
    <xf numFmtId="0" fontId="45" fillId="0" borderId="0" xfId="0" applyFont="1" applyAlignment="1">
      <alignment horizontal="left" vertical="center"/>
    </xf>
    <xf numFmtId="0" fontId="37" fillId="14" borderId="0" xfId="0" applyFont="1" applyFill="1" applyAlignment="1">
      <alignment vertical="center"/>
    </xf>
    <xf numFmtId="0" fontId="46" fillId="0" borderId="0" xfId="0" applyFont="1" applyAlignment="1">
      <alignment horizontal="center" vertical="center" wrapText="1"/>
    </xf>
    <xf numFmtId="0" fontId="46" fillId="0" borderId="0" xfId="0" applyFont="1" applyAlignment="1">
      <alignment horizontal="center" vertical="center"/>
    </xf>
    <xf numFmtId="0" fontId="46" fillId="0" borderId="0" xfId="0" applyFont="1" applyAlignment="1">
      <alignment vertical="center"/>
    </xf>
    <xf numFmtId="0" fontId="44" fillId="0" borderId="5" xfId="0" applyFont="1" applyBorder="1" applyAlignment="1">
      <alignment horizontal="center" vertical="center"/>
    </xf>
    <xf numFmtId="0" fontId="37" fillId="31" borderId="5" xfId="0" applyFont="1" applyFill="1" applyBorder="1" applyAlignment="1">
      <alignment horizontal="center" vertical="center" wrapText="1"/>
    </xf>
    <xf numFmtId="0" fontId="37" fillId="32" borderId="28" xfId="0" applyFont="1" applyFill="1" applyBorder="1" applyAlignment="1">
      <alignment horizontal="center" vertical="center" wrapText="1"/>
    </xf>
    <xf numFmtId="0" fontId="37" fillId="33" borderId="28" xfId="0" applyFont="1" applyFill="1" applyBorder="1" applyAlignment="1">
      <alignment horizontal="center" vertical="center" wrapText="1"/>
    </xf>
    <xf numFmtId="0" fontId="37" fillId="34" borderId="28" xfId="0" applyFont="1" applyFill="1" applyBorder="1" applyAlignment="1">
      <alignment horizontal="center" vertical="center" wrapText="1"/>
    </xf>
    <xf numFmtId="0" fontId="37" fillId="35" borderId="28" xfId="0" applyFont="1" applyFill="1" applyBorder="1" applyAlignment="1">
      <alignment horizontal="center" vertical="center" wrapText="1"/>
    </xf>
    <xf numFmtId="0" fontId="37" fillId="36" borderId="28" xfId="0" applyFont="1" applyFill="1" applyBorder="1" applyAlignment="1">
      <alignment horizontal="center" vertical="center" wrapText="1"/>
    </xf>
    <xf numFmtId="0" fontId="37" fillId="31" borderId="28" xfId="0" applyFont="1" applyFill="1" applyBorder="1" applyAlignment="1">
      <alignment horizontal="center" vertical="center" wrapText="1"/>
    </xf>
    <xf numFmtId="0" fontId="8" fillId="33" borderId="1" xfId="0" applyFont="1" applyFill="1" applyBorder="1" applyAlignment="1">
      <alignment horizontal="right" vertical="center"/>
    </xf>
    <xf numFmtId="0" fontId="44" fillId="0" borderId="29" xfId="0" applyFont="1" applyBorder="1" applyAlignment="1">
      <alignment horizontal="center" vertical="center"/>
    </xf>
    <xf numFmtId="0" fontId="37" fillId="14" borderId="0" xfId="0" applyFont="1" applyFill="1" applyAlignment="1">
      <alignment horizontal="center" vertical="center" wrapText="1"/>
    </xf>
    <xf numFmtId="0" fontId="8" fillId="37" borderId="1" xfId="0" applyFont="1" applyFill="1" applyBorder="1" applyAlignment="1">
      <alignment horizontal="right" vertical="center"/>
    </xf>
    <xf numFmtId="0" fontId="44" fillId="0" borderId="1" xfId="0" applyFont="1" applyBorder="1" applyAlignment="1">
      <alignment horizontal="center" vertical="center"/>
    </xf>
    <xf numFmtId="0" fontId="8" fillId="36" borderId="1" xfId="0" applyFont="1" applyFill="1" applyBorder="1" applyAlignment="1">
      <alignment horizontal="right" vertical="center"/>
    </xf>
    <xf numFmtId="0" fontId="8" fillId="38" borderId="1" xfId="0" applyFont="1" applyFill="1" applyBorder="1" applyAlignment="1">
      <alignment horizontal="right" vertical="center"/>
    </xf>
    <xf numFmtId="0" fontId="8" fillId="39" borderId="1" xfId="0" applyFont="1" applyFill="1" applyBorder="1" applyAlignment="1">
      <alignment horizontal="right" vertical="center" wrapText="1"/>
    </xf>
    <xf numFmtId="0" fontId="37" fillId="40" borderId="0" xfId="0" applyFont="1" applyFill="1" applyAlignment="1">
      <alignment horizontal="right" vertical="center" wrapText="1"/>
    </xf>
    <xf numFmtId="0" fontId="37" fillId="31" borderId="1" xfId="0" applyFont="1" applyFill="1" applyBorder="1" applyAlignment="1">
      <alignment horizontal="center" vertical="center"/>
    </xf>
    <xf numFmtId="0" fontId="37" fillId="32" borderId="1" xfId="0" applyFont="1" applyFill="1" applyBorder="1" applyAlignment="1">
      <alignment horizontal="center" vertical="center"/>
    </xf>
    <xf numFmtId="0" fontId="37" fillId="33" borderId="1" xfId="0" applyFont="1" applyFill="1" applyBorder="1" applyAlignment="1">
      <alignment horizontal="center" vertical="center"/>
    </xf>
    <xf numFmtId="0" fontId="37" fillId="34" borderId="1" xfId="0" applyFont="1" applyFill="1" applyBorder="1" applyAlignment="1">
      <alignment horizontal="center" vertical="center"/>
    </xf>
    <xf numFmtId="0" fontId="37" fillId="35" borderId="1" xfId="0" applyFont="1" applyFill="1" applyBorder="1" applyAlignment="1">
      <alignment horizontal="center" vertical="center"/>
    </xf>
    <xf numFmtId="0" fontId="37" fillId="36" borderId="1" xfId="0" applyFont="1" applyFill="1" applyBorder="1" applyAlignment="1">
      <alignment horizontal="center" vertical="center"/>
    </xf>
    <xf numFmtId="0" fontId="37" fillId="0" borderId="0" xfId="0" applyFont="1" applyAlignment="1">
      <alignment horizontal="right" vertical="center" wrapText="1"/>
    </xf>
    <xf numFmtId="0" fontId="37" fillId="0" borderId="0" xfId="0" applyFont="1" applyAlignment="1">
      <alignment horizontal="center" vertical="center"/>
    </xf>
    <xf numFmtId="0" fontId="37" fillId="0" borderId="0" xfId="0" applyFont="1" applyAlignment="1">
      <alignment vertical="center"/>
    </xf>
    <xf numFmtId="0" fontId="44" fillId="0" borderId="0" xfId="0" applyFont="1" applyAlignment="1">
      <alignment horizontal="center" vertical="center"/>
    </xf>
    <xf numFmtId="0" fontId="44" fillId="0" borderId="0" xfId="0" applyFont="1" applyAlignment="1">
      <alignment horizontal="left" vertical="center"/>
    </xf>
    <xf numFmtId="0" fontId="45" fillId="0" borderId="42" xfId="0" applyFont="1" applyBorder="1" applyAlignment="1">
      <alignment horizontal="center" vertical="center" wrapText="1"/>
    </xf>
    <xf numFmtId="0" fontId="45" fillId="0" borderId="42" xfId="0" applyFont="1" applyBorder="1" applyAlignment="1">
      <alignment vertical="center" wrapText="1"/>
    </xf>
    <xf numFmtId="164" fontId="45" fillId="0" borderId="42" xfId="1" applyNumberFormat="1" applyFont="1" applyFill="1" applyBorder="1" applyAlignment="1">
      <alignment vertical="center" wrapText="1"/>
    </xf>
    <xf numFmtId="164" fontId="45" fillId="0" borderId="42" xfId="1" applyNumberFormat="1" applyFont="1" applyFill="1" applyBorder="1" applyAlignment="1">
      <alignment horizontal="center" vertical="center" wrapText="1"/>
    </xf>
    <xf numFmtId="164" fontId="45" fillId="0" borderId="42" xfId="1" applyNumberFormat="1" applyFont="1" applyFill="1" applyBorder="1" applyAlignment="1">
      <alignment horizontal="right" vertical="center" wrapText="1"/>
    </xf>
    <xf numFmtId="0" fontId="45" fillId="0" borderId="43" xfId="0" applyFont="1" applyBorder="1" applyAlignment="1">
      <alignment vertical="center" wrapText="1"/>
    </xf>
    <xf numFmtId="164" fontId="45" fillId="0" borderId="43" xfId="1" applyNumberFormat="1" applyFont="1" applyFill="1" applyBorder="1" applyAlignment="1">
      <alignment vertical="center" wrapText="1"/>
    </xf>
    <xf numFmtId="0" fontId="45" fillId="0" borderId="44" xfId="0" applyFont="1" applyBorder="1" applyAlignment="1">
      <alignment horizontal="center" vertical="center" wrapText="1"/>
    </xf>
    <xf numFmtId="0" fontId="45" fillId="0" borderId="44" xfId="0" applyFont="1" applyBorder="1" applyAlignment="1">
      <alignment vertical="center" wrapText="1"/>
    </xf>
    <xf numFmtId="164" fontId="45" fillId="0" borderId="44" xfId="1" applyNumberFormat="1" applyFont="1" applyFill="1" applyBorder="1" applyAlignment="1">
      <alignment horizontal="center" vertical="center" wrapText="1"/>
    </xf>
    <xf numFmtId="164" fontId="45" fillId="0" borderId="44" xfId="1" applyNumberFormat="1" applyFont="1" applyFill="1" applyBorder="1" applyAlignment="1">
      <alignment horizontal="right" vertical="center" wrapText="1"/>
    </xf>
    <xf numFmtId="0" fontId="45" fillId="0" borderId="45" xfId="0" applyFont="1" applyBorder="1" applyAlignment="1">
      <alignment vertical="center" wrapText="1"/>
    </xf>
    <xf numFmtId="164" fontId="45" fillId="0" borderId="45" xfId="1" applyNumberFormat="1" applyFont="1" applyFill="1" applyBorder="1" applyAlignment="1">
      <alignment horizontal="right" vertical="center" wrapText="1"/>
    </xf>
    <xf numFmtId="164" fontId="45" fillId="0" borderId="43" xfId="1" applyNumberFormat="1" applyFont="1" applyFill="1" applyBorder="1" applyAlignment="1">
      <alignment horizontal="right" vertical="center" wrapText="1"/>
    </xf>
    <xf numFmtId="0" fontId="44" fillId="0" borderId="43" xfId="0" applyFont="1" applyBorder="1" applyAlignment="1">
      <alignment vertical="center" wrapText="1"/>
    </xf>
    <xf numFmtId="164" fontId="44" fillId="0" borderId="43" xfId="1" applyNumberFormat="1" applyFont="1" applyFill="1" applyBorder="1" applyAlignment="1">
      <alignment vertical="center" wrapText="1"/>
    </xf>
    <xf numFmtId="0" fontId="45" fillId="0" borderId="46" xfId="0" applyFont="1" applyBorder="1" applyAlignment="1">
      <alignment vertical="center" wrapText="1"/>
    </xf>
    <xf numFmtId="164" fontId="45" fillId="0" borderId="46" xfId="1" applyNumberFormat="1" applyFont="1" applyFill="1" applyBorder="1" applyAlignment="1">
      <alignment horizontal="right" vertical="center" wrapText="1"/>
    </xf>
    <xf numFmtId="164" fontId="45" fillId="0" borderId="46" xfId="1" applyNumberFormat="1" applyFont="1" applyFill="1" applyBorder="1" applyAlignment="1">
      <alignment vertical="center" wrapText="1"/>
    </xf>
    <xf numFmtId="164" fontId="45" fillId="0" borderId="44" xfId="1" applyNumberFormat="1" applyFont="1" applyFill="1" applyBorder="1" applyAlignment="1">
      <alignment vertical="center" wrapText="1"/>
    </xf>
    <xf numFmtId="0" fontId="49" fillId="5" borderId="37" xfId="0" applyFont="1" applyFill="1" applyBorder="1" applyAlignment="1">
      <alignment vertical="center" wrapText="1"/>
    </xf>
    <xf numFmtId="0" fontId="10" fillId="5" borderId="10" xfId="0" applyFont="1" applyFill="1" applyBorder="1" applyAlignment="1">
      <alignment vertical="center" wrapText="1"/>
    </xf>
    <xf numFmtId="0" fontId="9" fillId="17" borderId="4" xfId="0" applyFont="1" applyFill="1" applyBorder="1" applyAlignment="1">
      <alignment horizontal="center" vertical="center"/>
    </xf>
    <xf numFmtId="0" fontId="9" fillId="17" borderId="1" xfId="0" applyFont="1" applyFill="1" applyBorder="1" applyAlignment="1">
      <alignment horizontal="center" vertical="center"/>
    </xf>
    <xf numFmtId="0" fontId="45" fillId="0" borderId="1" xfId="0" applyFont="1" applyBorder="1" applyAlignment="1">
      <alignment horizontal="center" vertical="center" wrapText="1"/>
    </xf>
    <xf numFmtId="0" fontId="45" fillId="0" borderId="1" xfId="0" applyFont="1" applyBorder="1" applyAlignment="1">
      <alignment horizontal="left" vertical="center" wrapText="1"/>
    </xf>
    <xf numFmtId="0" fontId="45" fillId="0" borderId="1" xfId="0" applyFont="1" applyBorder="1" applyAlignment="1">
      <alignment vertical="center" wrapText="1"/>
    </xf>
    <xf numFmtId="164" fontId="45" fillId="0" borderId="1" xfId="1" applyNumberFormat="1" applyFont="1" applyFill="1" applyBorder="1" applyAlignment="1">
      <alignment vertical="center" wrapText="1"/>
    </xf>
    <xf numFmtId="0" fontId="45" fillId="0" borderId="4" xfId="0" applyFont="1" applyBorder="1" applyAlignment="1">
      <alignment horizontal="center" vertical="center" wrapText="1"/>
    </xf>
    <xf numFmtId="0" fontId="45" fillId="0" borderId="47" xfId="0" applyFont="1" applyBorder="1" applyAlignment="1">
      <alignment horizontal="center" vertical="center" wrapText="1"/>
    </xf>
    <xf numFmtId="0" fontId="45" fillId="0" borderId="47" xfId="0" applyFont="1" applyBorder="1" applyAlignment="1">
      <alignment horizontal="left" vertical="center" wrapText="1"/>
    </xf>
    <xf numFmtId="0" fontId="45" fillId="0" borderId="47" xfId="0" applyFont="1" applyBorder="1" applyAlignment="1">
      <alignment vertical="center" wrapText="1"/>
    </xf>
    <xf numFmtId="164" fontId="45" fillId="0" borderId="47" xfId="1" applyNumberFormat="1" applyFont="1" applyFill="1" applyBorder="1" applyAlignment="1">
      <alignment vertical="center" wrapText="1"/>
    </xf>
    <xf numFmtId="0" fontId="45" fillId="0" borderId="37" xfId="0" applyFont="1" applyBorder="1" applyAlignment="1">
      <alignment horizontal="center" vertical="center" wrapText="1"/>
    </xf>
    <xf numFmtId="0" fontId="45" fillId="0" borderId="28" xfId="0" applyFont="1" applyBorder="1" applyAlignment="1">
      <alignment horizontal="center" vertical="center" wrapText="1"/>
    </xf>
    <xf numFmtId="0" fontId="45" fillId="0" borderId="28" xfId="0" applyFont="1" applyBorder="1" applyAlignment="1">
      <alignment horizontal="left" vertical="center" wrapText="1"/>
    </xf>
    <xf numFmtId="0" fontId="45" fillId="0" borderId="28" xfId="0" applyFont="1" applyBorder="1" applyAlignment="1">
      <alignment vertical="center" wrapText="1"/>
    </xf>
    <xf numFmtId="164" fontId="45" fillId="0" borderId="28" xfId="1" applyNumberFormat="1" applyFont="1" applyFill="1" applyBorder="1" applyAlignment="1">
      <alignment vertical="center" wrapText="1"/>
    </xf>
    <xf numFmtId="0" fontId="45" fillId="0" borderId="29" xfId="0" applyFont="1" applyBorder="1" applyAlignment="1">
      <alignment horizontal="center" vertical="center" wrapText="1"/>
    </xf>
    <xf numFmtId="0" fontId="45" fillId="0" borderId="29" xfId="0" applyFont="1" applyBorder="1" applyAlignment="1">
      <alignment horizontal="left" vertical="center" wrapText="1"/>
    </xf>
    <xf numFmtId="0" fontId="45" fillId="0" borderId="29" xfId="0" applyFont="1" applyBorder="1" applyAlignment="1">
      <alignment vertical="center" wrapText="1"/>
    </xf>
    <xf numFmtId="164" fontId="45" fillId="0" borderId="29" xfId="1" applyNumberFormat="1" applyFont="1" applyFill="1" applyBorder="1" applyAlignment="1">
      <alignment vertical="center" wrapText="1"/>
    </xf>
    <xf numFmtId="0" fontId="10" fillId="7" borderId="1" xfId="0" applyFont="1" applyFill="1" applyBorder="1" applyAlignment="1">
      <alignment vertical="center" wrapText="1"/>
    </xf>
    <xf numFmtId="0" fontId="58" fillId="0" borderId="0" xfId="0" applyFont="1" applyAlignment="1">
      <alignment vertical="center"/>
    </xf>
    <xf numFmtId="164" fontId="10" fillId="19" borderId="1" xfId="0" applyNumberFormat="1" applyFont="1" applyFill="1" applyBorder="1" applyAlignment="1">
      <alignment vertical="center"/>
    </xf>
    <xf numFmtId="0" fontId="45" fillId="0" borderId="42" xfId="0" quotePrefix="1" applyFont="1" applyBorder="1" applyAlignment="1">
      <alignment vertical="center" wrapText="1"/>
    </xf>
    <xf numFmtId="0" fontId="45" fillId="0" borderId="44" xfId="0" quotePrefix="1" applyFont="1" applyBorder="1" applyAlignment="1">
      <alignment vertical="center" wrapText="1"/>
    </xf>
    <xf numFmtId="0" fontId="10" fillId="9" borderId="1" xfId="0" applyFont="1" applyFill="1" applyBorder="1" applyAlignment="1">
      <alignment vertical="center" wrapText="1"/>
    </xf>
    <xf numFmtId="0" fontId="61" fillId="0" borderId="0" xfId="0" applyFont="1" applyAlignment="1">
      <alignment vertical="center"/>
    </xf>
    <xf numFmtId="164" fontId="10" fillId="9" borderId="1" xfId="0" applyNumberFormat="1" applyFont="1" applyFill="1" applyBorder="1" applyAlignment="1">
      <alignment vertical="center" wrapText="1"/>
    </xf>
    <xf numFmtId="0" fontId="10" fillId="12" borderId="1" xfId="0" applyFont="1" applyFill="1" applyBorder="1" applyAlignment="1">
      <alignment vertical="center" wrapText="1"/>
    </xf>
    <xf numFmtId="164" fontId="10" fillId="11" borderId="1" xfId="0" applyNumberFormat="1" applyFont="1" applyFill="1" applyBorder="1" applyAlignment="1">
      <alignment vertical="center"/>
    </xf>
    <xf numFmtId="164" fontId="45" fillId="14" borderId="1" xfId="1" applyNumberFormat="1" applyFont="1" applyFill="1" applyBorder="1" applyAlignment="1">
      <alignment vertical="center" wrapText="1"/>
    </xf>
    <xf numFmtId="0" fontId="64" fillId="14" borderId="0" xfId="0" applyFont="1" applyFill="1" applyAlignment="1">
      <alignment vertical="center"/>
    </xf>
    <xf numFmtId="164" fontId="2" fillId="0" borderId="0" xfId="1" applyNumberFormat="1" applyFont="1" applyBorder="1" applyAlignment="1">
      <alignment vertical="center"/>
    </xf>
    <xf numFmtId="0" fontId="3" fillId="0" borderId="0" xfId="0" applyFont="1" applyAlignment="1">
      <alignment horizontal="left" vertical="center"/>
    </xf>
    <xf numFmtId="0" fontId="3" fillId="0" borderId="0" xfId="3" applyFont="1" applyAlignment="1">
      <alignment vertical="center" wrapText="1"/>
    </xf>
    <xf numFmtId="164" fontId="3" fillId="0" borderId="0" xfId="0" applyNumberFormat="1" applyFont="1" applyAlignment="1">
      <alignment vertical="center"/>
    </xf>
    <xf numFmtId="0" fontId="3" fillId="0" borderId="51" xfId="0" applyFont="1" applyBorder="1" applyAlignment="1">
      <alignment horizontal="left" vertical="center" wrapText="1"/>
    </xf>
    <xf numFmtId="0" fontId="19" fillId="0" borderId="24" xfId="0" applyFont="1" applyBorder="1" applyAlignment="1">
      <alignment horizontal="center" vertical="center" wrapText="1"/>
    </xf>
    <xf numFmtId="0" fontId="3" fillId="0" borderId="52" xfId="0" applyFont="1" applyBorder="1" applyAlignment="1">
      <alignment horizontal="left" vertical="center" wrapText="1"/>
    </xf>
    <xf numFmtId="0" fontId="3" fillId="0" borderId="53" xfId="0" applyFont="1" applyBorder="1" applyAlignment="1">
      <alignment horizontal="left" vertical="center" wrapText="1"/>
    </xf>
    <xf numFmtId="0" fontId="69" fillId="0" borderId="0" xfId="0" applyFont="1" applyAlignment="1">
      <alignment vertical="center"/>
    </xf>
    <xf numFmtId="0" fontId="69" fillId="0" borderId="0" xfId="0" applyFont="1" applyAlignment="1">
      <alignment horizontal="center" vertical="center"/>
    </xf>
    <xf numFmtId="0" fontId="69" fillId="0" borderId="0" xfId="0" applyFont="1" applyAlignment="1">
      <alignment horizontal="left" vertical="center"/>
    </xf>
    <xf numFmtId="164" fontId="69" fillId="0" borderId="0" xfId="1" applyNumberFormat="1" applyFont="1" applyAlignment="1">
      <alignment horizontal="center" vertical="center"/>
    </xf>
    <xf numFmtId="0" fontId="70" fillId="0" borderId="0" xfId="0" applyFont="1" applyAlignment="1">
      <alignment vertical="center"/>
    </xf>
    <xf numFmtId="0" fontId="71" fillId="0" borderId="0" xfId="0" applyFont="1" applyAlignment="1">
      <alignment horizontal="center" vertical="center" wrapText="1"/>
    </xf>
    <xf numFmtId="0" fontId="71" fillId="0" borderId="0" xfId="0" applyFont="1" applyAlignment="1">
      <alignment horizontal="center" vertical="center"/>
    </xf>
    <xf numFmtId="0" fontId="73" fillId="0" borderId="0" xfId="0" applyFont="1" applyAlignment="1">
      <alignment vertical="center"/>
    </xf>
    <xf numFmtId="0" fontId="70" fillId="0" borderId="0" xfId="0" applyFont="1" applyAlignment="1">
      <alignment vertical="center" wrapText="1"/>
    </xf>
    <xf numFmtId="0" fontId="70" fillId="0" borderId="0" xfId="2" applyFont="1" applyAlignment="1">
      <alignment vertical="center" wrapText="1"/>
    </xf>
    <xf numFmtId="0" fontId="70" fillId="49" borderId="0" xfId="0" applyFont="1" applyFill="1" applyAlignment="1">
      <alignment vertical="center"/>
    </xf>
    <xf numFmtId="0" fontId="45" fillId="0" borderId="0" xfId="0" applyFont="1" applyAlignment="1">
      <alignment vertical="center" wrapText="1"/>
    </xf>
    <xf numFmtId="0" fontId="45" fillId="0" borderId="44" xfId="0" applyFont="1" applyBorder="1" applyAlignment="1">
      <alignment horizontal="left" vertical="top" wrapText="1"/>
    </xf>
    <xf numFmtId="0" fontId="18" fillId="49" borderId="0" xfId="0" applyFont="1" applyFill="1" applyAlignment="1">
      <alignment vertical="center"/>
    </xf>
    <xf numFmtId="0" fontId="45" fillId="14" borderId="13" xfId="0" applyFont="1" applyFill="1" applyBorder="1" applyAlignment="1">
      <alignment vertical="center" wrapText="1"/>
    </xf>
    <xf numFmtId="0" fontId="45" fillId="14" borderId="17" xfId="0" applyFont="1" applyFill="1" applyBorder="1" applyAlignment="1">
      <alignment vertical="center" wrapText="1"/>
    </xf>
    <xf numFmtId="0" fontId="45" fillId="14" borderId="22" xfId="0" applyFont="1" applyFill="1" applyBorder="1" applyAlignment="1">
      <alignment vertical="center" wrapText="1"/>
    </xf>
    <xf numFmtId="0" fontId="76" fillId="14" borderId="0" xfId="0" applyFont="1" applyFill="1" applyAlignment="1">
      <alignment vertical="center"/>
    </xf>
    <xf numFmtId="0" fontId="45" fillId="0" borderId="10" xfId="0" applyFont="1" applyBorder="1" applyAlignment="1">
      <alignment horizontal="center" vertical="center" wrapText="1"/>
    </xf>
    <xf numFmtId="164" fontId="45" fillId="0" borderId="1" xfId="1" applyNumberFormat="1" applyFont="1" applyFill="1" applyBorder="1" applyAlignment="1">
      <alignment horizontal="right" vertical="center" wrapText="1"/>
    </xf>
    <xf numFmtId="0" fontId="45" fillId="0" borderId="1" xfId="0" applyFont="1" applyBorder="1" applyAlignment="1">
      <alignment horizontal="left" vertical="top" wrapText="1"/>
    </xf>
    <xf numFmtId="0" fontId="45" fillId="0" borderId="28" xfId="0" applyFont="1" applyBorder="1" applyAlignment="1">
      <alignment horizontal="left" vertical="top" wrapText="1"/>
    </xf>
    <xf numFmtId="0" fontId="45" fillId="0" borderId="4" xfId="0" applyFont="1" applyBorder="1" applyAlignment="1">
      <alignment horizontal="left" vertical="top" wrapText="1"/>
    </xf>
    <xf numFmtId="0" fontId="44" fillId="0" borderId="1" xfId="0" applyFont="1" applyBorder="1" applyAlignment="1">
      <alignment horizontal="left" vertical="top" wrapText="1"/>
    </xf>
    <xf numFmtId="0" fontId="45" fillId="0" borderId="28" xfId="0" applyFont="1" applyBorder="1" applyAlignment="1">
      <alignment horizontal="left" vertical="top"/>
    </xf>
    <xf numFmtId="0" fontId="51" fillId="0" borderId="28" xfId="0" applyFont="1" applyBorder="1" applyAlignment="1">
      <alignment horizontal="left" vertical="top" wrapText="1"/>
    </xf>
    <xf numFmtId="0" fontId="45" fillId="0" borderId="42" xfId="0" applyFont="1" applyBorder="1" applyAlignment="1">
      <alignment horizontal="left" vertical="top" wrapText="1"/>
    </xf>
    <xf numFmtId="0" fontId="45" fillId="41" borderId="50" xfId="0" applyFont="1" applyFill="1" applyBorder="1" applyAlignment="1">
      <alignment horizontal="left" vertical="top" wrapText="1"/>
    </xf>
    <xf numFmtId="0" fontId="45" fillId="41" borderId="44" xfId="0" applyFont="1" applyFill="1" applyBorder="1" applyAlignment="1">
      <alignment horizontal="left" vertical="top" wrapText="1"/>
    </xf>
    <xf numFmtId="0" fontId="45" fillId="41" borderId="42" xfId="0" applyFont="1" applyFill="1" applyBorder="1" applyAlignment="1">
      <alignment horizontal="left" vertical="top" wrapText="1"/>
    </xf>
    <xf numFmtId="164" fontId="45" fillId="0" borderId="4" xfId="1" applyNumberFormat="1" applyFont="1" applyFill="1" applyBorder="1" applyAlignment="1">
      <alignment horizontal="left" vertical="top" wrapText="1"/>
    </xf>
    <xf numFmtId="0" fontId="51" fillId="0" borderId="7" xfId="0" applyFont="1" applyBorder="1" applyAlignment="1">
      <alignment horizontal="left" vertical="top"/>
    </xf>
    <xf numFmtId="0" fontId="54" fillId="0" borderId="1" xfId="0" applyFont="1" applyBorder="1" applyAlignment="1">
      <alignment vertical="center" wrapText="1"/>
    </xf>
    <xf numFmtId="164" fontId="45" fillId="0" borderId="1" xfId="1" applyNumberFormat="1" applyFont="1" applyFill="1" applyBorder="1" applyAlignment="1">
      <alignment horizontal="center" vertical="center" wrapText="1"/>
    </xf>
    <xf numFmtId="0" fontId="45" fillId="14" borderId="1" xfId="0" applyFont="1" applyFill="1" applyBorder="1" applyAlignment="1">
      <alignment vertical="center" wrapText="1"/>
    </xf>
    <xf numFmtId="0" fontId="45" fillId="14" borderId="1" xfId="0" applyFont="1" applyFill="1" applyBorder="1" applyAlignment="1">
      <alignment horizontal="left" vertical="top" wrapText="1"/>
    </xf>
    <xf numFmtId="0" fontId="45" fillId="14" borderId="1" xfId="0" applyFont="1" applyFill="1" applyBorder="1" applyAlignment="1">
      <alignment horizontal="left" vertical="center" wrapText="1"/>
    </xf>
    <xf numFmtId="164" fontId="45" fillId="0" borderId="1" xfId="1" applyNumberFormat="1" applyFont="1" applyFill="1" applyBorder="1" applyAlignment="1">
      <alignment horizontal="left" vertical="center" wrapText="1"/>
    </xf>
    <xf numFmtId="0" fontId="45" fillId="41" borderId="1" xfId="0" applyFont="1" applyFill="1" applyBorder="1" applyAlignment="1">
      <alignment horizontal="left" vertical="top" wrapText="1"/>
    </xf>
    <xf numFmtId="0" fontId="54" fillId="0" borderId="11" xfId="0" applyFont="1" applyBorder="1" applyAlignment="1">
      <alignment vertical="center" wrapText="1"/>
    </xf>
    <xf numFmtId="164" fontId="45" fillId="0" borderId="61" xfId="1" applyNumberFormat="1" applyFont="1" applyFill="1" applyBorder="1" applyAlignment="1">
      <alignment horizontal="center" vertical="center" wrapText="1"/>
    </xf>
    <xf numFmtId="0" fontId="3" fillId="0" borderId="20" xfId="0" applyFont="1" applyBorder="1" applyAlignment="1">
      <alignment horizontal="center" vertical="center" wrapText="1"/>
    </xf>
    <xf numFmtId="0" fontId="45" fillId="14" borderId="28" xfId="0" applyFont="1" applyFill="1" applyBorder="1" applyAlignment="1">
      <alignment horizontal="left" vertical="top" wrapText="1"/>
    </xf>
    <xf numFmtId="0" fontId="45" fillId="14" borderId="1" xfId="0" applyFont="1" applyFill="1" applyBorder="1" applyAlignment="1">
      <alignment horizontal="center" vertical="center" wrapText="1"/>
    </xf>
    <xf numFmtId="0" fontId="52" fillId="14" borderId="1" xfId="0" applyFont="1" applyFill="1" applyBorder="1" applyAlignment="1">
      <alignment horizontal="center" vertical="center" wrapText="1"/>
    </xf>
    <xf numFmtId="0" fontId="52" fillId="14" borderId="1" xfId="0" applyFont="1" applyFill="1" applyBorder="1" applyAlignment="1">
      <alignment vertical="center" wrapText="1"/>
    </xf>
    <xf numFmtId="0" fontId="18" fillId="14" borderId="1" xfId="0" applyFont="1" applyFill="1" applyBorder="1" applyAlignment="1">
      <alignment vertical="center"/>
    </xf>
    <xf numFmtId="0" fontId="70" fillId="14" borderId="1" xfId="0" applyFont="1" applyFill="1" applyBorder="1" applyAlignment="1">
      <alignment vertical="center" wrapText="1"/>
    </xf>
    <xf numFmtId="0" fontId="77" fillId="5" borderId="6" xfId="0" applyFont="1" applyFill="1" applyBorder="1" applyAlignment="1">
      <alignment horizontal="center" vertical="center" wrapText="1"/>
    </xf>
    <xf numFmtId="0" fontId="78" fillId="5" borderId="7" xfId="0" applyFont="1" applyFill="1" applyBorder="1" applyAlignment="1">
      <alignment horizontal="center" vertical="center" wrapText="1"/>
    </xf>
    <xf numFmtId="0" fontId="77" fillId="5" borderId="9" xfId="0" applyFont="1" applyFill="1" applyBorder="1" applyAlignment="1">
      <alignment horizontal="center" vertical="center" wrapText="1"/>
    </xf>
    <xf numFmtId="164" fontId="77" fillId="5" borderId="10" xfId="0" applyNumberFormat="1" applyFont="1" applyFill="1" applyBorder="1" applyAlignment="1">
      <alignment horizontal="right" vertical="center" wrapText="1"/>
    </xf>
    <xf numFmtId="0" fontId="3" fillId="14" borderId="1" xfId="0" applyFont="1" applyFill="1" applyBorder="1" applyAlignment="1">
      <alignment horizontal="center" vertical="center" wrapText="1"/>
    </xf>
    <xf numFmtId="0" fontId="3" fillId="14" borderId="1" xfId="0" applyFont="1" applyFill="1" applyBorder="1" applyAlignment="1">
      <alignment horizontal="left" vertical="center" wrapText="1"/>
    </xf>
    <xf numFmtId="0" fontId="19" fillId="14" borderId="1" xfId="0" applyFont="1" applyFill="1" applyBorder="1" applyAlignment="1">
      <alignment vertical="center" wrapText="1"/>
    </xf>
    <xf numFmtId="0" fontId="3" fillId="14" borderId="1" xfId="0" applyFont="1" applyFill="1" applyBorder="1" applyAlignment="1">
      <alignment vertical="center" wrapText="1"/>
    </xf>
    <xf numFmtId="0" fontId="3" fillId="14" borderId="13" xfId="0" applyFont="1" applyFill="1" applyBorder="1" applyAlignment="1">
      <alignment vertical="center" wrapText="1"/>
    </xf>
    <xf numFmtId="0" fontId="80" fillId="0" borderId="24" xfId="0" applyFont="1" applyBorder="1" applyAlignment="1">
      <alignment vertical="center" wrapText="1"/>
    </xf>
    <xf numFmtId="0" fontId="3" fillId="14" borderId="17" xfId="0" applyFont="1" applyFill="1" applyBorder="1" applyAlignment="1">
      <alignment vertical="center" wrapText="1"/>
    </xf>
    <xf numFmtId="0" fontId="80" fillId="0" borderId="20" xfId="0" applyFont="1" applyBorder="1" applyAlignment="1">
      <alignment vertical="center" wrapText="1"/>
    </xf>
    <xf numFmtId="0" fontId="3" fillId="14" borderId="22" xfId="0" applyFont="1" applyFill="1" applyBorder="1" applyAlignment="1">
      <alignment vertical="center" wrapText="1"/>
    </xf>
    <xf numFmtId="0" fontId="80" fillId="0" borderId="21" xfId="0" applyFont="1" applyBorder="1" applyAlignment="1">
      <alignment vertical="center" wrapText="1"/>
    </xf>
    <xf numFmtId="0" fontId="80" fillId="0" borderId="55" xfId="0" applyFont="1" applyBorder="1" applyAlignment="1">
      <alignment vertical="center" wrapText="1"/>
    </xf>
    <xf numFmtId="0" fontId="8" fillId="0" borderId="22" xfId="0" applyFont="1" applyBorder="1" applyAlignment="1">
      <alignment vertical="center" wrapText="1"/>
    </xf>
    <xf numFmtId="0" fontId="77" fillId="7" borderId="6" xfId="0" applyFont="1" applyFill="1" applyBorder="1" applyAlignment="1">
      <alignment horizontal="center" vertical="center"/>
    </xf>
    <xf numFmtId="0" fontId="78" fillId="7" borderId="7" xfId="0" applyFont="1" applyFill="1" applyBorder="1" applyAlignment="1">
      <alignment horizontal="center" vertical="center" wrapText="1"/>
    </xf>
    <xf numFmtId="0" fontId="77" fillId="7" borderId="9" xfId="0" applyFont="1" applyFill="1" applyBorder="1" applyAlignment="1">
      <alignment horizontal="center" vertical="center"/>
    </xf>
    <xf numFmtId="164" fontId="77" fillId="7" borderId="10" xfId="0" applyNumberFormat="1" applyFont="1" applyFill="1" applyBorder="1" applyAlignment="1">
      <alignment horizontal="right" vertical="center" wrapText="1"/>
    </xf>
    <xf numFmtId="0" fontId="43" fillId="0" borderId="17" xfId="0" applyFont="1" applyBorder="1" applyAlignment="1">
      <alignment horizontal="center" vertical="center" wrapText="1"/>
    </xf>
    <xf numFmtId="0" fontId="43" fillId="0" borderId="22" xfId="0" applyFont="1" applyBorder="1" applyAlignment="1">
      <alignment horizontal="center" vertical="center" wrapText="1"/>
    </xf>
    <xf numFmtId="0" fontId="77" fillId="9" borderId="6" xfId="0" applyFont="1" applyFill="1" applyBorder="1" applyAlignment="1">
      <alignment horizontal="center" vertical="center"/>
    </xf>
    <xf numFmtId="0" fontId="78" fillId="9" borderId="7" xfId="0" applyFont="1" applyFill="1" applyBorder="1" applyAlignment="1">
      <alignment horizontal="center" vertical="center" wrapText="1"/>
    </xf>
    <xf numFmtId="0" fontId="77" fillId="9" borderId="9" xfId="0" applyFont="1" applyFill="1" applyBorder="1" applyAlignment="1">
      <alignment horizontal="center" vertical="center"/>
    </xf>
    <xf numFmtId="164" fontId="77" fillId="9" borderId="10" xfId="0" applyNumberFormat="1" applyFont="1" applyFill="1" applyBorder="1" applyAlignment="1">
      <alignment horizontal="right" vertical="center" wrapText="1"/>
    </xf>
    <xf numFmtId="0" fontId="82" fillId="11" borderId="6" xfId="0" applyFont="1" applyFill="1" applyBorder="1" applyAlignment="1">
      <alignment horizontal="center" vertical="center"/>
    </xf>
    <xf numFmtId="0" fontId="78" fillId="12" borderId="7" xfId="0" applyFont="1" applyFill="1" applyBorder="1" applyAlignment="1">
      <alignment horizontal="center" vertical="center" wrapText="1"/>
    </xf>
    <xf numFmtId="0" fontId="82" fillId="11" borderId="9" xfId="0" applyFont="1" applyFill="1" applyBorder="1" applyAlignment="1">
      <alignment horizontal="center" vertical="center"/>
    </xf>
    <xf numFmtId="164" fontId="77" fillId="12" borderId="10" xfId="0" applyNumberFormat="1" applyFont="1" applyFill="1" applyBorder="1" applyAlignment="1">
      <alignment horizontal="right" vertical="center" wrapText="1"/>
    </xf>
    <xf numFmtId="0" fontId="3" fillId="0" borderId="0" xfId="0" quotePrefix="1" applyFont="1" applyAlignment="1">
      <alignment vertical="center"/>
    </xf>
    <xf numFmtId="0" fontId="2" fillId="0" borderId="0" xfId="0" applyFont="1" applyAlignment="1">
      <alignment horizontal="right" vertical="center"/>
    </xf>
    <xf numFmtId="0" fontId="79" fillId="0" borderId="1" xfId="0" applyFont="1" applyBorder="1" applyAlignment="1">
      <alignment horizontal="center" vertical="center" wrapText="1"/>
    </xf>
    <xf numFmtId="0" fontId="79" fillId="0" borderId="1" xfId="0" applyFont="1" applyBorder="1" applyAlignment="1">
      <alignment vertical="center"/>
    </xf>
    <xf numFmtId="0" fontId="79" fillId="0" borderId="1" xfId="0" applyFont="1" applyBorder="1" applyAlignment="1">
      <alignment vertical="center" wrapText="1"/>
    </xf>
    <xf numFmtId="0" fontId="8" fillId="14" borderId="42" xfId="0" applyFont="1" applyFill="1" applyBorder="1" applyAlignment="1">
      <alignment horizontal="right" vertical="center"/>
    </xf>
    <xf numFmtId="0" fontId="8" fillId="14" borderId="43" xfId="0" applyFont="1" applyFill="1" applyBorder="1" applyAlignment="1">
      <alignment horizontal="right" vertical="center"/>
    </xf>
    <xf numFmtId="0" fontId="8" fillId="14" borderId="44" xfId="0" applyFont="1" applyFill="1" applyBorder="1" applyAlignment="1">
      <alignment horizontal="right" vertical="center"/>
    </xf>
    <xf numFmtId="0" fontId="78" fillId="3" borderId="6" xfId="0" applyFont="1" applyFill="1" applyBorder="1" applyAlignment="1">
      <alignment horizontal="center" vertical="center" wrapText="1"/>
    </xf>
    <xf numFmtId="0" fontId="78" fillId="3" borderId="7" xfId="0" applyFont="1" applyFill="1" applyBorder="1" applyAlignment="1">
      <alignment horizontal="center" vertical="center" wrapText="1"/>
    </xf>
    <xf numFmtId="164" fontId="77" fillId="3" borderId="9" xfId="0" applyNumberFormat="1" applyFont="1" applyFill="1" applyBorder="1" applyAlignment="1">
      <alignment horizontal="right" vertical="center" wrapText="1"/>
    </xf>
    <xf numFmtId="164" fontId="77" fillId="3" borderId="10" xfId="0" applyNumberFormat="1" applyFont="1" applyFill="1" applyBorder="1" applyAlignment="1">
      <alignment horizontal="right" vertical="center" wrapText="1"/>
    </xf>
    <xf numFmtId="0" fontId="3" fillId="0" borderId="56" xfId="0" applyFont="1" applyBorder="1" applyAlignment="1">
      <alignment horizontal="left" vertical="center" wrapText="1"/>
    </xf>
    <xf numFmtId="164" fontId="3" fillId="0" borderId="21" xfId="1" applyNumberFormat="1" applyFont="1" applyFill="1" applyBorder="1" applyAlignment="1">
      <alignment horizontal="center" vertical="center" wrapText="1"/>
    </xf>
    <xf numFmtId="164" fontId="3" fillId="0" borderId="50" xfId="1" applyNumberFormat="1" applyFont="1" applyFill="1" applyBorder="1" applyAlignment="1">
      <alignment horizontal="center" vertical="center" wrapText="1"/>
    </xf>
    <xf numFmtId="0" fontId="3" fillId="0" borderId="57" xfId="0" applyFont="1" applyBorder="1" applyAlignment="1">
      <alignment horizontal="left" vertical="center" wrapText="1"/>
    </xf>
    <xf numFmtId="0" fontId="8" fillId="0" borderId="18" xfId="0" applyFont="1" applyBorder="1" applyAlignment="1">
      <alignment vertical="center" wrapText="1"/>
    </xf>
    <xf numFmtId="0" fontId="3" fillId="0" borderId="58" xfId="0" applyFont="1" applyBorder="1" applyAlignment="1">
      <alignment horizontal="center" vertical="center" wrapText="1"/>
    </xf>
    <xf numFmtId="0" fontId="3" fillId="0" borderId="55" xfId="0" applyFont="1" applyBorder="1" applyAlignment="1">
      <alignment horizontal="center" vertical="center" wrapText="1"/>
    </xf>
    <xf numFmtId="164" fontId="3" fillId="0" borderId="48" xfId="1" applyNumberFormat="1" applyFont="1" applyFill="1" applyBorder="1" applyAlignment="1">
      <alignment horizontal="right" vertical="center" wrapText="1"/>
    </xf>
    <xf numFmtId="164" fontId="3" fillId="0" borderId="49" xfId="1" applyNumberFormat="1" applyFont="1" applyFill="1" applyBorder="1" applyAlignment="1">
      <alignment horizontal="right" vertical="center" wrapText="1"/>
    </xf>
    <xf numFmtId="164" fontId="3" fillId="0" borderId="50" xfId="1" applyNumberFormat="1" applyFont="1" applyFill="1" applyBorder="1" applyAlignment="1">
      <alignment horizontal="right" vertical="center" wrapText="1"/>
    </xf>
    <xf numFmtId="0" fontId="80" fillId="0" borderId="13" xfId="0" applyFont="1" applyBorder="1" applyAlignment="1">
      <alignment vertical="center" wrapText="1"/>
    </xf>
    <xf numFmtId="0" fontId="80" fillId="0" borderId="17" xfId="0" applyFont="1" applyBorder="1" applyAlignment="1">
      <alignment vertical="center" wrapText="1"/>
    </xf>
    <xf numFmtId="0" fontId="80" fillId="0" borderId="22" xfId="0" applyFont="1" applyBorder="1" applyAlignment="1">
      <alignment vertical="center" wrapText="1"/>
    </xf>
    <xf numFmtId="0" fontId="43" fillId="0" borderId="13" xfId="0" applyFont="1" applyBorder="1" applyAlignment="1">
      <alignment horizontal="center" vertical="center" wrapText="1"/>
    </xf>
    <xf numFmtId="164" fontId="3" fillId="0" borderId="14" xfId="1" applyNumberFormat="1" applyFont="1" applyFill="1" applyBorder="1" applyAlignment="1">
      <alignment horizontal="right" vertical="center" wrapText="1"/>
    </xf>
    <xf numFmtId="164" fontId="3" fillId="0" borderId="25" xfId="1" applyNumberFormat="1" applyFont="1" applyFill="1" applyBorder="1" applyAlignment="1">
      <alignment horizontal="right" vertical="center" wrapText="1"/>
    </xf>
    <xf numFmtId="164" fontId="3" fillId="0" borderId="23" xfId="1" applyNumberFormat="1" applyFont="1" applyFill="1" applyBorder="1" applyAlignment="1">
      <alignment horizontal="right" vertical="center" wrapText="1"/>
    </xf>
    <xf numFmtId="164" fontId="8" fillId="0" borderId="48" xfId="1" applyNumberFormat="1" applyFont="1" applyFill="1" applyBorder="1" applyAlignment="1">
      <alignment horizontal="right" vertical="center" wrapText="1"/>
    </xf>
    <xf numFmtId="164" fontId="8" fillId="0" borderId="49" xfId="1" applyNumberFormat="1" applyFont="1" applyFill="1" applyBorder="1" applyAlignment="1">
      <alignment horizontal="right" vertical="center" wrapText="1"/>
    </xf>
    <xf numFmtId="164" fontId="8" fillId="0" borderId="50" xfId="1" applyNumberFormat="1" applyFont="1" applyFill="1" applyBorder="1" applyAlignment="1">
      <alignment horizontal="right" vertical="center" wrapText="1"/>
    </xf>
    <xf numFmtId="164" fontId="3" fillId="0" borderId="48" xfId="1" applyNumberFormat="1" applyFont="1" applyFill="1" applyBorder="1" applyAlignment="1">
      <alignment horizontal="center" vertical="center" wrapText="1"/>
    </xf>
    <xf numFmtId="164" fontId="3" fillId="0" borderId="49" xfId="1" applyNumberFormat="1" applyFont="1" applyFill="1" applyBorder="1" applyAlignment="1">
      <alignment horizontal="center" vertical="center" wrapText="1"/>
    </xf>
    <xf numFmtId="0" fontId="8" fillId="0" borderId="13" xfId="0" applyFont="1" applyBorder="1" applyAlignment="1">
      <alignment vertical="center" wrapText="1"/>
    </xf>
    <xf numFmtId="0" fontId="45" fillId="14" borderId="48" xfId="0" applyFont="1" applyFill="1" applyBorder="1" applyAlignment="1">
      <alignment horizontal="left" vertical="center" wrapText="1"/>
    </xf>
    <xf numFmtId="0" fontId="45" fillId="14" borderId="42" xfId="0" applyFont="1" applyFill="1" applyBorder="1" applyAlignment="1">
      <alignment horizontal="left" vertical="center" wrapText="1"/>
    </xf>
    <xf numFmtId="0" fontId="45" fillId="14" borderId="49" xfId="0" applyFont="1" applyFill="1" applyBorder="1" applyAlignment="1">
      <alignment horizontal="left" vertical="center" wrapText="1"/>
    </xf>
    <xf numFmtId="0" fontId="45" fillId="14" borderId="43" xfId="0" applyFont="1" applyFill="1" applyBorder="1" applyAlignment="1">
      <alignment horizontal="left" vertical="center" wrapText="1"/>
    </xf>
    <xf numFmtId="0" fontId="45" fillId="14" borderId="50" xfId="0" applyFont="1" applyFill="1" applyBorder="1" applyAlignment="1">
      <alignment horizontal="left" vertical="center" wrapText="1"/>
    </xf>
    <xf numFmtId="0" fontId="45" fillId="14" borderId="44" xfId="0" applyFont="1" applyFill="1" applyBorder="1" applyAlignment="1">
      <alignment horizontal="left" vertical="center" wrapText="1"/>
    </xf>
    <xf numFmtId="0" fontId="45" fillId="0" borderId="13" xfId="0" applyFont="1" applyBorder="1" applyAlignment="1">
      <alignment vertical="center" wrapText="1"/>
    </xf>
    <xf numFmtId="164" fontId="45" fillId="0" borderId="14" xfId="1" applyNumberFormat="1" applyFont="1" applyFill="1" applyBorder="1" applyAlignment="1">
      <alignment horizontal="center" vertical="center" wrapText="1"/>
    </xf>
    <xf numFmtId="0" fontId="45" fillId="0" borderId="17" xfId="0" applyFont="1" applyBorder="1" applyAlignment="1">
      <alignment vertical="center" wrapText="1"/>
    </xf>
    <xf numFmtId="164" fontId="45" fillId="0" borderId="25" xfId="1" applyNumberFormat="1" applyFont="1" applyFill="1" applyBorder="1" applyAlignment="1">
      <alignment horizontal="center" vertical="center" wrapText="1"/>
    </xf>
    <xf numFmtId="0" fontId="45" fillId="0" borderId="22" xfId="0" applyFont="1" applyBorder="1" applyAlignment="1">
      <alignment vertical="center" wrapText="1"/>
    </xf>
    <xf numFmtId="164" fontId="45" fillId="0" borderId="23" xfId="1" applyNumberFormat="1" applyFont="1" applyFill="1" applyBorder="1" applyAlignment="1">
      <alignment horizontal="center" vertical="center" wrapText="1"/>
    </xf>
    <xf numFmtId="0" fontId="9" fillId="14" borderId="0" xfId="0" applyFont="1" applyFill="1" applyAlignment="1">
      <alignment horizontal="left" vertical="center" wrapText="1"/>
    </xf>
    <xf numFmtId="0" fontId="18" fillId="14" borderId="0" xfId="0" applyFont="1" applyFill="1" applyAlignment="1">
      <alignment vertical="center"/>
    </xf>
    <xf numFmtId="0" fontId="85" fillId="0" borderId="48" xfId="0" applyFont="1" applyBorder="1" applyAlignment="1">
      <alignment horizontal="left" vertical="center" wrapText="1"/>
    </xf>
    <xf numFmtId="0" fontId="85" fillId="0" borderId="42" xfId="0" applyFont="1" applyBorder="1" applyAlignment="1">
      <alignment horizontal="left" vertical="center" wrapText="1"/>
    </xf>
    <xf numFmtId="0" fontId="85" fillId="0" borderId="62" xfId="0" applyFont="1" applyBorder="1" applyAlignment="1">
      <alignment horizontal="left" vertical="center" wrapText="1"/>
    </xf>
    <xf numFmtId="0" fontId="13" fillId="9" borderId="30" xfId="0" applyFont="1" applyFill="1" applyBorder="1" applyAlignment="1">
      <alignment horizontal="left" vertical="center" wrapText="1"/>
    </xf>
    <xf numFmtId="0" fontId="13" fillId="9" borderId="31" xfId="0" applyFont="1" applyFill="1" applyBorder="1" applyAlignment="1">
      <alignment horizontal="left" vertical="center" wrapText="1"/>
    </xf>
    <xf numFmtId="0" fontId="13" fillId="9" borderId="38" xfId="0" applyFont="1" applyFill="1" applyBorder="1" applyAlignment="1">
      <alignment horizontal="left" vertical="center" wrapText="1"/>
    </xf>
    <xf numFmtId="0" fontId="23" fillId="21" borderId="18" xfId="0" applyFont="1" applyFill="1" applyBorder="1" applyAlignment="1">
      <alignment horizontal="center" vertical="center" wrapText="1"/>
    </xf>
    <xf numFmtId="0" fontId="23" fillId="21" borderId="17" xfId="0" applyFont="1" applyFill="1" applyBorder="1" applyAlignment="1">
      <alignment horizontal="center" vertical="center" wrapText="1"/>
    </xf>
    <xf numFmtId="0" fontId="23" fillId="21" borderId="22" xfId="0" applyFont="1" applyFill="1" applyBorder="1" applyAlignment="1">
      <alignment horizontal="center" vertical="center" wrapText="1"/>
    </xf>
    <xf numFmtId="0" fontId="13" fillId="12" borderId="30" xfId="0" applyFont="1" applyFill="1" applyBorder="1" applyAlignment="1">
      <alignment horizontal="left" vertical="center" wrapText="1"/>
    </xf>
    <xf numFmtId="0" fontId="13" fillId="12" borderId="31" xfId="0" applyFont="1" applyFill="1" applyBorder="1" applyAlignment="1">
      <alignment horizontal="left" vertical="center"/>
    </xf>
    <xf numFmtId="0" fontId="13" fillId="12" borderId="32" xfId="0" applyFont="1" applyFill="1" applyBorder="1" applyAlignment="1">
      <alignment horizontal="left" vertical="center"/>
    </xf>
    <xf numFmtId="0" fontId="13" fillId="12" borderId="30" xfId="0" applyFont="1" applyFill="1" applyBorder="1" applyAlignment="1">
      <alignment vertical="center" wrapText="1"/>
    </xf>
    <xf numFmtId="0" fontId="13" fillId="12" borderId="31" xfId="0" applyFont="1" applyFill="1" applyBorder="1" applyAlignment="1">
      <alignment vertical="center"/>
    </xf>
    <xf numFmtId="0" fontId="13" fillId="12" borderId="32" xfId="0" applyFont="1" applyFill="1" applyBorder="1" applyAlignment="1">
      <alignment vertical="center"/>
    </xf>
    <xf numFmtId="0" fontId="13" fillId="12" borderId="41" xfId="0" applyFont="1" applyFill="1" applyBorder="1" applyAlignment="1">
      <alignment horizontal="left" vertical="center" wrapText="1"/>
    </xf>
    <xf numFmtId="0" fontId="13" fillId="12" borderId="31" xfId="0" applyFont="1" applyFill="1" applyBorder="1" applyAlignment="1">
      <alignment horizontal="left" vertical="center" wrapText="1"/>
    </xf>
    <xf numFmtId="0" fontId="13" fillId="12" borderId="32" xfId="0" applyFont="1" applyFill="1" applyBorder="1" applyAlignment="1">
      <alignment horizontal="left" vertical="center" wrapText="1"/>
    </xf>
    <xf numFmtId="0" fontId="3" fillId="0" borderId="12"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27" xfId="0" applyFont="1" applyBorder="1" applyAlignment="1">
      <alignment horizontal="center" vertical="center" wrapText="1"/>
    </xf>
    <xf numFmtId="0" fontId="3" fillId="0" borderId="12" xfId="0" applyFont="1" applyBorder="1" applyAlignment="1">
      <alignment horizontal="left" vertical="center" wrapText="1"/>
    </xf>
    <xf numFmtId="0" fontId="3" fillId="0" borderId="16" xfId="0" applyFont="1" applyBorder="1" applyAlignment="1">
      <alignment horizontal="left" vertical="center" wrapText="1"/>
    </xf>
    <xf numFmtId="0" fontId="3" fillId="0" borderId="27" xfId="0" applyFont="1" applyBorder="1" applyAlignment="1">
      <alignment horizontal="left" vertical="center" wrapText="1"/>
    </xf>
    <xf numFmtId="0" fontId="13" fillId="5" borderId="30" xfId="0" applyFont="1" applyFill="1" applyBorder="1" applyAlignment="1">
      <alignment vertical="center" wrapText="1"/>
    </xf>
    <xf numFmtId="0" fontId="13" fillId="5" borderId="31" xfId="0" applyFont="1" applyFill="1" applyBorder="1" applyAlignment="1">
      <alignment vertical="center" wrapText="1"/>
    </xf>
    <xf numFmtId="0" fontId="13" fillId="5" borderId="32" xfId="0" applyFont="1" applyFill="1" applyBorder="1" applyAlignment="1">
      <alignment vertical="center" wrapText="1"/>
    </xf>
    <xf numFmtId="0" fontId="16" fillId="0" borderId="13"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22" xfId="0" applyFont="1" applyBorder="1" applyAlignment="1">
      <alignment horizontal="center" vertical="center" wrapText="1"/>
    </xf>
    <xf numFmtId="0" fontId="21" fillId="16" borderId="5" xfId="0" applyFont="1" applyFill="1" applyBorder="1" applyAlignment="1">
      <alignment vertical="center"/>
    </xf>
    <xf numFmtId="0" fontId="21" fillId="16" borderId="8" xfId="0" applyFont="1" applyFill="1" applyBorder="1" applyAlignment="1">
      <alignment vertical="center"/>
    </xf>
    <xf numFmtId="0" fontId="10" fillId="11" borderId="6" xfId="0" applyFont="1" applyFill="1" applyBorder="1" applyAlignment="1">
      <alignment horizontal="left" vertical="center" wrapText="1"/>
    </xf>
    <xf numFmtId="0" fontId="22" fillId="11" borderId="6" xfId="0" applyFont="1" applyFill="1" applyBorder="1" applyAlignment="1">
      <alignment horizontal="left" vertical="center"/>
    </xf>
    <xf numFmtId="0" fontId="22" fillId="11" borderId="9" xfId="0" applyFont="1" applyFill="1" applyBorder="1" applyAlignment="1">
      <alignment horizontal="left" vertical="center"/>
    </xf>
    <xf numFmtId="0" fontId="13" fillId="5" borderId="30" xfId="0" applyFont="1" applyFill="1" applyBorder="1" applyAlignment="1">
      <alignment horizontal="left" vertical="center" wrapText="1"/>
    </xf>
    <xf numFmtId="0" fontId="13" fillId="5" borderId="31" xfId="0" applyFont="1" applyFill="1" applyBorder="1" applyAlignment="1">
      <alignment horizontal="left" vertical="center" wrapText="1"/>
    </xf>
    <xf numFmtId="0" fontId="13" fillId="5" borderId="38" xfId="0" applyFont="1" applyFill="1" applyBorder="1" applyAlignment="1">
      <alignment horizontal="left" vertical="center" wrapText="1"/>
    </xf>
    <xf numFmtId="0" fontId="9" fillId="18" borderId="5" xfId="0" applyFont="1" applyFill="1" applyBorder="1" applyAlignment="1">
      <alignment vertical="center"/>
    </xf>
    <xf numFmtId="0" fontId="9" fillId="18" borderId="8" xfId="0" applyFont="1" applyFill="1" applyBorder="1" applyAlignment="1">
      <alignment vertical="center"/>
    </xf>
    <xf numFmtId="0" fontId="10" fillId="7" borderId="6" xfId="0" applyFont="1" applyFill="1" applyBorder="1" applyAlignment="1">
      <alignment horizontal="left" vertical="center" wrapText="1"/>
    </xf>
    <xf numFmtId="0" fontId="10" fillId="7" borderId="6" xfId="0" applyFont="1" applyFill="1" applyBorder="1" applyAlignment="1">
      <alignment horizontal="left" vertical="center"/>
    </xf>
    <xf numFmtId="0" fontId="10" fillId="7" borderId="9" xfId="0" applyFont="1" applyFill="1" applyBorder="1" applyAlignment="1">
      <alignment horizontal="left" vertical="center"/>
    </xf>
    <xf numFmtId="0" fontId="13" fillId="7" borderId="41" xfId="0" applyFont="1" applyFill="1" applyBorder="1" applyAlignment="1">
      <alignment vertical="center" wrapText="1"/>
    </xf>
    <xf numFmtId="0" fontId="13" fillId="7" borderId="31" xfId="0" applyFont="1" applyFill="1" applyBorder="1" applyAlignment="1">
      <alignment vertical="center"/>
    </xf>
    <xf numFmtId="0" fontId="13" fillId="7" borderId="32" xfId="0" applyFont="1" applyFill="1" applyBorder="1" applyAlignment="1">
      <alignment vertical="center"/>
    </xf>
    <xf numFmtId="0" fontId="13" fillId="7" borderId="30" xfId="0" applyFont="1" applyFill="1" applyBorder="1" applyAlignment="1">
      <alignment vertical="center" wrapText="1"/>
    </xf>
    <xf numFmtId="0" fontId="9" fillId="20" borderId="5" xfId="0" applyFont="1" applyFill="1" applyBorder="1" applyAlignment="1">
      <alignment vertical="center"/>
    </xf>
    <xf numFmtId="0" fontId="9" fillId="20" borderId="8" xfId="0" applyFont="1" applyFill="1" applyBorder="1" applyAlignment="1">
      <alignment vertical="center"/>
    </xf>
    <xf numFmtId="0" fontId="10" fillId="9" borderId="6" xfId="0" applyFont="1" applyFill="1" applyBorder="1" applyAlignment="1">
      <alignment horizontal="left" vertical="center"/>
    </xf>
    <xf numFmtId="0" fontId="10" fillId="9" borderId="9" xfId="0" applyFont="1" applyFill="1" applyBorder="1" applyAlignment="1">
      <alignment horizontal="left" vertical="center"/>
    </xf>
    <xf numFmtId="0" fontId="13" fillId="9" borderId="31" xfId="0" applyFont="1" applyFill="1" applyBorder="1" applyAlignment="1">
      <alignment horizontal="left" vertical="center"/>
    </xf>
    <xf numFmtId="0" fontId="13" fillId="9" borderId="32" xfId="0" applyFont="1" applyFill="1" applyBorder="1" applyAlignment="1">
      <alignment horizontal="left" vertical="center"/>
    </xf>
    <xf numFmtId="0" fontId="13" fillId="9" borderId="41" xfId="0" applyFont="1" applyFill="1" applyBorder="1" applyAlignment="1">
      <alignment horizontal="left" vertical="center" wrapText="1"/>
    </xf>
    <xf numFmtId="0" fontId="13" fillId="9" borderId="38" xfId="0" applyFont="1" applyFill="1" applyBorder="1" applyAlignment="1">
      <alignment horizontal="left" vertical="center"/>
    </xf>
    <xf numFmtId="0" fontId="13" fillId="5" borderId="32" xfId="0" applyFont="1" applyFill="1" applyBorder="1" applyAlignment="1">
      <alignment horizontal="left" vertical="center" wrapText="1"/>
    </xf>
    <xf numFmtId="0" fontId="13" fillId="5" borderId="33" xfId="0" applyFont="1" applyFill="1" applyBorder="1" applyAlignment="1">
      <alignment vertical="top" wrapText="1"/>
    </xf>
    <xf numFmtId="0" fontId="13" fillId="5" borderId="34" xfId="0" applyFont="1" applyFill="1" applyBorder="1" applyAlignment="1">
      <alignment vertical="top" wrapText="1"/>
    </xf>
    <xf numFmtId="0" fontId="13" fillId="5" borderId="35" xfId="0" applyFont="1" applyFill="1" applyBorder="1" applyAlignment="1">
      <alignment vertical="top" wrapText="1"/>
    </xf>
    <xf numFmtId="0" fontId="16" fillId="0" borderId="12" xfId="0" applyFont="1" applyBorder="1" applyAlignment="1">
      <alignment horizontal="center" vertical="top" wrapText="1"/>
    </xf>
    <xf numFmtId="0" fontId="16" fillId="0" borderId="16" xfId="0" applyFont="1" applyBorder="1" applyAlignment="1">
      <alignment horizontal="center" vertical="top" wrapText="1"/>
    </xf>
    <xf numFmtId="0" fontId="16" fillId="0" borderId="27" xfId="0" applyFont="1" applyBorder="1" applyAlignment="1">
      <alignment horizontal="center" vertical="top" wrapText="1"/>
    </xf>
    <xf numFmtId="164" fontId="14" fillId="0" borderId="13" xfId="1" applyNumberFormat="1" applyFont="1" applyFill="1" applyBorder="1" applyAlignment="1">
      <alignment horizontal="center" vertical="center" wrapText="1"/>
    </xf>
    <xf numFmtId="164" fontId="14" fillId="0" borderId="17" xfId="1" applyNumberFormat="1" applyFont="1" applyFill="1" applyBorder="1" applyAlignment="1">
      <alignment horizontal="center" vertical="center" wrapText="1"/>
    </xf>
    <xf numFmtId="164" fontId="14" fillId="0" borderId="22" xfId="1" applyNumberFormat="1" applyFont="1" applyFill="1" applyBorder="1" applyAlignment="1">
      <alignment horizontal="center" vertical="center" wrapText="1"/>
    </xf>
    <xf numFmtId="0" fontId="9" fillId="17" borderId="36" xfId="0" applyFont="1" applyFill="1" applyBorder="1" applyAlignment="1">
      <alignment vertical="center"/>
    </xf>
    <xf numFmtId="0" fontId="9" fillId="17" borderId="8" xfId="0" applyFont="1" applyFill="1" applyBorder="1" applyAlignment="1">
      <alignment vertical="center"/>
    </xf>
    <xf numFmtId="0" fontId="10" fillId="5" borderId="0" xfId="0" applyFont="1" applyFill="1" applyAlignment="1">
      <alignment horizontal="left" vertical="center" wrapText="1"/>
    </xf>
    <xf numFmtId="0" fontId="10" fillId="5" borderId="9" xfId="0" applyFont="1" applyFill="1" applyBorder="1" applyAlignment="1">
      <alignment horizontal="left" vertical="center" wrapText="1"/>
    </xf>
    <xf numFmtId="0" fontId="13" fillId="3" borderId="30" xfId="0" applyFont="1" applyFill="1" applyBorder="1" applyAlignment="1">
      <alignment horizontal="left" vertical="center" wrapText="1"/>
    </xf>
    <xf numFmtId="0" fontId="13" fillId="3" borderId="32" xfId="0" applyFont="1" applyFill="1" applyBorder="1" applyAlignment="1">
      <alignment horizontal="left" vertical="center" wrapText="1"/>
    </xf>
    <xf numFmtId="164" fontId="14" fillId="0" borderId="12" xfId="1" applyNumberFormat="1" applyFont="1" applyFill="1" applyBorder="1" applyAlignment="1">
      <alignment horizontal="center" vertical="center" wrapText="1"/>
    </xf>
    <xf numFmtId="164" fontId="14" fillId="0" borderId="27" xfId="1" applyNumberFormat="1" applyFont="1" applyFill="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9" fillId="15" borderId="5" xfId="0" applyFont="1" applyFill="1" applyBorder="1" applyAlignment="1">
      <alignment horizontal="left" vertical="center"/>
    </xf>
    <xf numFmtId="0" fontId="9" fillId="15" borderId="36" xfId="0" applyFont="1" applyFill="1" applyBorder="1" applyAlignment="1">
      <alignment horizontal="left" vertical="center"/>
    </xf>
    <xf numFmtId="0" fontId="10" fillId="3" borderId="6" xfId="0" applyFont="1" applyFill="1" applyBorder="1" applyAlignment="1">
      <alignment horizontal="left" vertical="center" wrapText="1"/>
    </xf>
    <xf numFmtId="0" fontId="10" fillId="3" borderId="0" xfId="0" applyFont="1" applyFill="1" applyAlignment="1">
      <alignment horizontal="left" vertical="center" wrapText="1"/>
    </xf>
    <xf numFmtId="0" fontId="13" fillId="3" borderId="31" xfId="0" applyFont="1" applyFill="1" applyBorder="1" applyAlignment="1">
      <alignment horizontal="left" vertical="center" wrapText="1"/>
    </xf>
    <xf numFmtId="0" fontId="13" fillId="3" borderId="38" xfId="0" applyFont="1" applyFill="1" applyBorder="1" applyAlignment="1">
      <alignment horizontal="left" vertical="center" wrapText="1"/>
    </xf>
    <xf numFmtId="164" fontId="29" fillId="0" borderId="13" xfId="1" applyNumberFormat="1" applyFont="1" applyFill="1" applyBorder="1" applyAlignment="1">
      <alignment horizontal="center" vertical="center" wrapText="1"/>
    </xf>
    <xf numFmtId="164" fontId="29" fillId="0" borderId="17" xfId="1" applyNumberFormat="1" applyFont="1" applyFill="1" applyBorder="1" applyAlignment="1">
      <alignment horizontal="center" vertical="center" wrapText="1"/>
    </xf>
    <xf numFmtId="0" fontId="3" fillId="0" borderId="17" xfId="0" applyFont="1" applyBorder="1" applyAlignment="1">
      <alignment horizontal="center" vertical="center" wrapText="1"/>
    </xf>
    <xf numFmtId="0" fontId="3" fillId="0" borderId="39" xfId="0" applyFont="1" applyBorder="1" applyAlignment="1">
      <alignment horizontal="center" vertical="center" wrapText="1"/>
    </xf>
    <xf numFmtId="0" fontId="3" fillId="0" borderId="17" xfId="0" applyFont="1" applyBorder="1" applyAlignment="1">
      <alignment horizontal="left" vertical="center" wrapText="1"/>
    </xf>
    <xf numFmtId="0" fontId="3" fillId="0" borderId="39" xfId="0" applyFont="1" applyBorder="1" applyAlignment="1">
      <alignment horizontal="left" vertical="center" wrapText="1"/>
    </xf>
    <xf numFmtId="164" fontId="14" fillId="0" borderId="39" xfId="1" applyNumberFormat="1" applyFont="1" applyFill="1" applyBorder="1" applyAlignment="1">
      <alignment horizontal="center" vertical="center" wrapText="1"/>
    </xf>
    <xf numFmtId="0" fontId="13" fillId="3" borderId="32" xfId="0" applyFont="1" applyFill="1" applyBorder="1" applyAlignment="1">
      <alignment horizontal="left" vertical="center"/>
    </xf>
    <xf numFmtId="0" fontId="24" fillId="0" borderId="2" xfId="0" applyFont="1" applyBorder="1" applyAlignment="1">
      <alignment horizontal="left" vertical="center"/>
    </xf>
    <xf numFmtId="0" fontId="24" fillId="0" borderId="4" xfId="0" applyFont="1" applyBorder="1" applyAlignment="1">
      <alignment horizontal="lef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35" fillId="0" borderId="0" xfId="0" applyFont="1" applyAlignment="1">
      <alignment horizontal="center" vertical="center"/>
    </xf>
    <xf numFmtId="0" fontId="36" fillId="22" borderId="5" xfId="0" applyFont="1" applyFill="1" applyBorder="1" applyAlignment="1">
      <alignment horizontal="center" vertical="center"/>
    </xf>
    <xf numFmtId="0" fontId="36" fillId="22" borderId="7" xfId="0" applyFont="1" applyFill="1" applyBorder="1" applyAlignment="1">
      <alignment horizontal="center" vertical="center"/>
    </xf>
    <xf numFmtId="0" fontId="36" fillId="22" borderId="8" xfId="0" applyFont="1" applyFill="1" applyBorder="1" applyAlignment="1">
      <alignment horizontal="center" vertical="center"/>
    </xf>
    <xf numFmtId="0" fontId="36" fillId="22" borderId="10" xfId="0" applyFont="1" applyFill="1" applyBorder="1" applyAlignment="1">
      <alignment horizontal="center" vertical="center"/>
    </xf>
    <xf numFmtId="0" fontId="9" fillId="30" borderId="2" xfId="0" applyFont="1" applyFill="1" applyBorder="1" applyAlignment="1">
      <alignment horizontal="center" vertical="center"/>
    </xf>
    <xf numFmtId="0" fontId="9" fillId="30" borderId="4" xfId="0" applyFont="1" applyFill="1" applyBorder="1" applyAlignment="1">
      <alignment horizontal="center" vertical="center"/>
    </xf>
    <xf numFmtId="0" fontId="24" fillId="0" borderId="2" xfId="0" applyFont="1" applyBorder="1" applyAlignment="1">
      <alignment horizontal="left" vertical="center" wrapText="1"/>
    </xf>
    <xf numFmtId="0" fontId="24" fillId="0" borderId="4" xfId="0" applyFont="1" applyBorder="1" applyAlignment="1">
      <alignment horizontal="left" vertical="center" wrapText="1"/>
    </xf>
    <xf numFmtId="0" fontId="24" fillId="0" borderId="28" xfId="0" applyFont="1" applyBorder="1" applyAlignment="1">
      <alignment horizontal="left" vertical="center" wrapText="1"/>
    </xf>
    <xf numFmtId="0" fontId="24" fillId="0" borderId="29" xfId="0" applyFont="1" applyBorder="1" applyAlignment="1">
      <alignment horizontal="left" vertical="center" wrapText="1"/>
    </xf>
    <xf numFmtId="164" fontId="3" fillId="0" borderId="2" xfId="1" applyNumberFormat="1" applyFont="1" applyBorder="1" applyAlignment="1">
      <alignment horizontal="center" vertical="center"/>
    </xf>
    <xf numFmtId="164" fontId="3" fillId="0" borderId="3" xfId="1" applyNumberFormat="1" applyFont="1" applyBorder="1" applyAlignment="1">
      <alignment horizontal="center" vertical="center"/>
    </xf>
    <xf numFmtId="164" fontId="3" fillId="0" borderId="4" xfId="1" applyNumberFormat="1" applyFont="1" applyBorder="1" applyAlignment="1">
      <alignment horizontal="center" vertical="center"/>
    </xf>
    <xf numFmtId="0" fontId="54" fillId="0" borderId="24" xfId="0" applyFont="1" applyBorder="1" applyAlignment="1">
      <alignment horizontal="center" vertical="center" wrapText="1"/>
    </xf>
    <xf numFmtId="0" fontId="54" fillId="0" borderId="20" xfId="0" applyFont="1" applyBorder="1" applyAlignment="1">
      <alignment horizontal="center" vertical="center" wrapText="1"/>
    </xf>
    <xf numFmtId="0" fontId="54" fillId="0" borderId="21" xfId="0" applyFont="1" applyBorder="1" applyAlignment="1">
      <alignment horizontal="center" vertical="center" wrapText="1"/>
    </xf>
    <xf numFmtId="0" fontId="45" fillId="0" borderId="28" xfId="0" applyFont="1" applyBorder="1" applyAlignment="1">
      <alignment horizontal="center" vertical="center" wrapText="1"/>
    </xf>
    <xf numFmtId="0" fontId="45" fillId="0" borderId="47" xfId="0" applyFont="1" applyBorder="1" applyAlignment="1">
      <alignment horizontal="center" vertical="center" wrapText="1"/>
    </xf>
    <xf numFmtId="0" fontId="45" fillId="0" borderId="29" xfId="0" applyFont="1" applyBorder="1" applyAlignment="1">
      <alignment horizontal="center" vertical="center" wrapText="1"/>
    </xf>
    <xf numFmtId="0" fontId="37" fillId="14" borderId="1" xfId="0" applyFont="1" applyFill="1" applyBorder="1" applyAlignment="1">
      <alignment horizontal="left" vertical="center" wrapText="1"/>
    </xf>
    <xf numFmtId="0" fontId="45" fillId="0" borderId="1" xfId="0" applyFont="1" applyBorder="1" applyAlignment="1">
      <alignment horizontal="center" vertical="center" wrapText="1"/>
    </xf>
    <xf numFmtId="0" fontId="45" fillId="0" borderId="1" xfId="0" applyFont="1" applyBorder="1" applyAlignment="1">
      <alignment horizontal="left" vertical="center" wrapText="1"/>
    </xf>
    <xf numFmtId="0" fontId="63" fillId="21" borderId="1" xfId="0" applyFont="1" applyFill="1" applyBorder="1" applyAlignment="1">
      <alignment horizontal="center" vertical="center" wrapText="1"/>
    </xf>
    <xf numFmtId="0" fontId="10" fillId="9" borderId="1" xfId="0" applyFont="1" applyFill="1" applyBorder="1" applyAlignment="1">
      <alignment horizontal="left" vertical="center"/>
    </xf>
    <xf numFmtId="0" fontId="10" fillId="9" borderId="5" xfId="0" applyFont="1" applyFill="1" applyBorder="1" applyAlignment="1">
      <alignment horizontal="center" vertical="center"/>
    </xf>
    <xf numFmtId="0" fontId="10" fillId="9" borderId="6" xfId="0" applyFont="1" applyFill="1" applyBorder="1" applyAlignment="1">
      <alignment horizontal="center" vertical="center"/>
    </xf>
    <xf numFmtId="0" fontId="10" fillId="9" borderId="7" xfId="0" applyFont="1" applyFill="1" applyBorder="1" applyAlignment="1">
      <alignment horizontal="center" vertical="center"/>
    </xf>
    <xf numFmtId="0" fontId="10" fillId="9" borderId="8" xfId="0" applyFont="1" applyFill="1" applyBorder="1" applyAlignment="1">
      <alignment horizontal="center" vertical="center"/>
    </xf>
    <xf numFmtId="0" fontId="10" fillId="9" borderId="9" xfId="0" applyFont="1" applyFill="1" applyBorder="1" applyAlignment="1">
      <alignment horizontal="center" vertical="center"/>
    </xf>
    <xf numFmtId="0" fontId="10" fillId="9" borderId="10" xfId="0" applyFont="1" applyFill="1" applyBorder="1" applyAlignment="1">
      <alignment horizontal="center" vertical="center"/>
    </xf>
    <xf numFmtId="0" fontId="10" fillId="11" borderId="1" xfId="0" applyFont="1" applyFill="1" applyBorder="1" applyAlignment="1">
      <alignment horizontal="left" vertical="center"/>
    </xf>
    <xf numFmtId="0" fontId="62" fillId="11" borderId="1" xfId="0" applyFont="1" applyFill="1" applyBorder="1" applyAlignment="1">
      <alignment horizontal="left" vertical="center"/>
    </xf>
    <xf numFmtId="0" fontId="10" fillId="11" borderId="5" xfId="0" applyFont="1" applyFill="1" applyBorder="1" applyAlignment="1">
      <alignment horizontal="left" vertical="center" wrapText="1"/>
    </xf>
    <xf numFmtId="0" fontId="10" fillId="11" borderId="7" xfId="0" applyFont="1" applyFill="1" applyBorder="1" applyAlignment="1">
      <alignment horizontal="left" vertical="center" wrapText="1"/>
    </xf>
    <xf numFmtId="0" fontId="10" fillId="11" borderId="8" xfId="0" applyFont="1" applyFill="1" applyBorder="1" applyAlignment="1">
      <alignment horizontal="left" vertical="center" wrapText="1"/>
    </xf>
    <xf numFmtId="0" fontId="10" fillId="11" borderId="9" xfId="0" applyFont="1" applyFill="1" applyBorder="1" applyAlignment="1">
      <alignment horizontal="left" vertical="center" wrapText="1"/>
    </xf>
    <xf numFmtId="0" fontId="10" fillId="11" borderId="10" xfId="0" applyFont="1" applyFill="1" applyBorder="1" applyAlignment="1">
      <alignment horizontal="left" vertical="center" wrapText="1"/>
    </xf>
    <xf numFmtId="0" fontId="45" fillId="0" borderId="42" xfId="0" applyFont="1" applyBorder="1" applyAlignment="1">
      <alignment horizontal="left" vertical="center" wrapText="1"/>
    </xf>
    <xf numFmtId="0" fontId="45" fillId="0" borderId="44" xfId="0" applyFont="1" applyBorder="1" applyAlignment="1">
      <alignment horizontal="left" vertical="center" wrapText="1"/>
    </xf>
    <xf numFmtId="0" fontId="9" fillId="14" borderId="30" xfId="0" applyFont="1" applyFill="1" applyBorder="1" applyAlignment="1">
      <alignment vertical="center" wrapText="1"/>
    </xf>
    <xf numFmtId="0" fontId="9" fillId="14" borderId="31" xfId="0" applyFont="1" applyFill="1" applyBorder="1" applyAlignment="1">
      <alignment vertical="center" wrapText="1"/>
    </xf>
    <xf numFmtId="0" fontId="9" fillId="14" borderId="38" xfId="0" applyFont="1" applyFill="1" applyBorder="1" applyAlignment="1">
      <alignment vertical="center" wrapText="1"/>
    </xf>
    <xf numFmtId="0" fontId="9" fillId="14" borderId="32" xfId="0" applyFont="1" applyFill="1" applyBorder="1" applyAlignment="1">
      <alignment vertical="center" wrapText="1"/>
    </xf>
    <xf numFmtId="0" fontId="37" fillId="14" borderId="28" xfId="0" applyFont="1" applyFill="1" applyBorder="1" applyAlignment="1">
      <alignment horizontal="center" vertical="center" wrapText="1"/>
    </xf>
    <xf numFmtId="0" fontId="37" fillId="14" borderId="47" xfId="0" applyFont="1" applyFill="1" applyBorder="1" applyAlignment="1">
      <alignment horizontal="center" vertical="center" wrapText="1"/>
    </xf>
    <xf numFmtId="0" fontId="37" fillId="14" borderId="29" xfId="0" applyFont="1" applyFill="1" applyBorder="1" applyAlignment="1">
      <alignment horizontal="center" vertical="center" wrapText="1"/>
    </xf>
    <xf numFmtId="0" fontId="53" fillId="0" borderId="5" xfId="0" applyFont="1" applyBorder="1" applyAlignment="1">
      <alignment horizontal="left" vertical="center" wrapText="1"/>
    </xf>
    <xf numFmtId="0" fontId="45" fillId="0" borderId="6" xfId="0" applyFont="1" applyBorder="1" applyAlignment="1">
      <alignment horizontal="left" vertical="center" wrapText="1"/>
    </xf>
    <xf numFmtId="0" fontId="45" fillId="0" borderId="7" xfId="0" applyFont="1" applyBorder="1" applyAlignment="1">
      <alignment horizontal="left" vertical="center" wrapText="1"/>
    </xf>
    <xf numFmtId="0" fontId="45" fillId="0" borderId="36" xfId="0" applyFont="1" applyBorder="1" applyAlignment="1">
      <alignment horizontal="left" vertical="center" wrapText="1"/>
    </xf>
    <xf numFmtId="0" fontId="45" fillId="0" borderId="0" xfId="0" applyFont="1" applyAlignment="1">
      <alignment horizontal="left" vertical="center" wrapText="1"/>
    </xf>
    <xf numFmtId="0" fontId="45" fillId="0" borderId="37" xfId="0" applyFont="1" applyBorder="1" applyAlignment="1">
      <alignment horizontal="left" vertical="center" wrapText="1"/>
    </xf>
    <xf numFmtId="0" fontId="45" fillId="0" borderId="8" xfId="0" applyFont="1" applyBorder="1" applyAlignment="1">
      <alignment horizontal="left" vertical="center" wrapText="1"/>
    </xf>
    <xf numFmtId="0" fontId="45" fillId="0" borderId="9" xfId="0" applyFont="1" applyBorder="1" applyAlignment="1">
      <alignment horizontal="left" vertical="center" wrapText="1"/>
    </xf>
    <xf numFmtId="0" fontId="45" fillId="0" borderId="10" xfId="0" applyFont="1" applyBorder="1" applyAlignment="1">
      <alignment horizontal="left" vertical="center" wrapText="1"/>
    </xf>
    <xf numFmtId="0" fontId="9" fillId="14" borderId="31" xfId="0" applyFont="1" applyFill="1" applyBorder="1" applyAlignment="1">
      <alignment vertical="center"/>
    </xf>
    <xf numFmtId="0" fontId="9" fillId="14" borderId="32" xfId="0" applyFont="1" applyFill="1" applyBorder="1" applyAlignment="1">
      <alignment vertical="center"/>
    </xf>
    <xf numFmtId="0" fontId="45" fillId="0" borderId="1" xfId="0" applyFont="1" applyBorder="1" applyAlignment="1">
      <alignment horizontal="left" vertical="top" wrapText="1"/>
    </xf>
    <xf numFmtId="0" fontId="57" fillId="41" borderId="6" xfId="0" applyFont="1" applyFill="1" applyBorder="1" applyAlignment="1">
      <alignment horizontal="left" vertical="top"/>
    </xf>
    <xf numFmtId="0" fontId="57" fillId="41" borderId="7" xfId="0" applyFont="1" applyFill="1" applyBorder="1" applyAlignment="1">
      <alignment horizontal="left" vertical="top"/>
    </xf>
    <xf numFmtId="0" fontId="57" fillId="41" borderId="9" xfId="0" applyFont="1" applyFill="1" applyBorder="1" applyAlignment="1">
      <alignment horizontal="left" vertical="top"/>
    </xf>
    <xf numFmtId="0" fontId="57" fillId="41" borderId="10" xfId="0" applyFont="1" applyFill="1" applyBorder="1" applyAlignment="1">
      <alignment horizontal="left" vertical="top"/>
    </xf>
    <xf numFmtId="0" fontId="37" fillId="14" borderId="1" xfId="0" applyFont="1" applyFill="1" applyBorder="1" applyAlignment="1">
      <alignment horizontal="left" vertical="center"/>
    </xf>
    <xf numFmtId="0" fontId="44" fillId="0" borderId="4" xfId="0" applyFont="1" applyBorder="1" applyAlignment="1">
      <alignment horizontal="left" vertical="top" wrapText="1"/>
    </xf>
    <xf numFmtId="0" fontId="44" fillId="0" borderId="1" xfId="0" applyFont="1" applyBorder="1" applyAlignment="1">
      <alignment horizontal="left" vertical="top" wrapText="1"/>
    </xf>
    <xf numFmtId="0" fontId="37" fillId="14" borderId="1" xfId="0" applyFont="1" applyFill="1" applyBorder="1" applyAlignment="1">
      <alignment vertical="center" wrapText="1"/>
    </xf>
    <xf numFmtId="0" fontId="37" fillId="14" borderId="1" xfId="0" applyFont="1" applyFill="1" applyBorder="1" applyAlignment="1">
      <alignment vertical="center"/>
    </xf>
    <xf numFmtId="0" fontId="9" fillId="14" borderId="30" xfId="0" applyFont="1" applyFill="1" applyBorder="1" applyAlignment="1">
      <alignment horizontal="left" vertical="center" wrapText="1"/>
    </xf>
    <xf numFmtId="0" fontId="9" fillId="14" borderId="31" xfId="0" applyFont="1" applyFill="1" applyBorder="1" applyAlignment="1">
      <alignment horizontal="left" vertical="center" wrapText="1"/>
    </xf>
    <xf numFmtId="0" fontId="9" fillId="14" borderId="32"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10" fillId="7" borderId="1" xfId="0" applyFont="1" applyFill="1" applyBorder="1" applyAlignment="1">
      <alignment horizontal="left" vertical="center"/>
    </xf>
    <xf numFmtId="0" fontId="10" fillId="7" borderId="5" xfId="0" applyFont="1" applyFill="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7" borderId="9" xfId="0" applyFont="1" applyFill="1" applyBorder="1" applyAlignment="1">
      <alignment horizontal="left" vertical="center" wrapText="1"/>
    </xf>
    <xf numFmtId="0" fontId="10" fillId="7" borderId="10" xfId="0" applyFont="1" applyFill="1" applyBorder="1" applyAlignment="1">
      <alignment horizontal="left" vertical="center" wrapText="1"/>
    </xf>
    <xf numFmtId="0" fontId="45" fillId="0" borderId="42" xfId="0" applyFont="1" applyBorder="1" applyAlignment="1">
      <alignment horizontal="center" vertical="center" wrapText="1"/>
    </xf>
    <xf numFmtId="0" fontId="45" fillId="0" borderId="44" xfId="0" applyFont="1" applyBorder="1" applyAlignment="1">
      <alignment horizontal="center" vertical="center" wrapText="1"/>
    </xf>
    <xf numFmtId="0" fontId="44" fillId="0" borderId="4" xfId="0" applyFont="1" applyBorder="1" applyAlignment="1">
      <alignment horizontal="left" vertical="top"/>
    </xf>
    <xf numFmtId="0" fontId="44" fillId="0" borderId="1" xfId="0" applyFont="1" applyBorder="1" applyAlignment="1">
      <alignment horizontal="left" vertical="top"/>
    </xf>
    <xf numFmtId="0" fontId="54" fillId="0" borderId="1" xfId="0" applyFont="1" applyBorder="1" applyAlignment="1">
      <alignment horizontal="center" vertical="center" wrapText="1"/>
    </xf>
    <xf numFmtId="0" fontId="54" fillId="14" borderId="42" xfId="0" applyFont="1" applyFill="1" applyBorder="1" applyAlignment="1">
      <alignment horizontal="center" vertical="center" wrapText="1"/>
    </xf>
    <xf numFmtId="0" fontId="54" fillId="14" borderId="43" xfId="0" applyFont="1" applyFill="1" applyBorder="1" applyAlignment="1">
      <alignment horizontal="center" vertical="center" wrapText="1"/>
    </xf>
    <xf numFmtId="0" fontId="45" fillId="0" borderId="1" xfId="0" applyFont="1" applyBorder="1" applyAlignment="1">
      <alignment vertical="center" wrapText="1"/>
    </xf>
    <xf numFmtId="0" fontId="37" fillId="14" borderId="42" xfId="0" applyFont="1" applyFill="1" applyBorder="1" applyAlignment="1">
      <alignment vertical="center" wrapText="1"/>
    </xf>
    <xf numFmtId="0" fontId="37" fillId="14" borderId="43" xfId="0" applyFont="1" applyFill="1" applyBorder="1" applyAlignment="1">
      <alignment vertical="center" wrapText="1"/>
    </xf>
    <xf numFmtId="0" fontId="37" fillId="14" borderId="44" xfId="0" applyFont="1" applyFill="1" applyBorder="1" applyAlignment="1">
      <alignment vertical="center" wrapText="1"/>
    </xf>
    <xf numFmtId="0" fontId="45" fillId="0" borderId="43" xfId="0" applyFont="1" applyBorder="1" applyAlignment="1">
      <alignment horizontal="center" vertical="center" wrapText="1"/>
    </xf>
    <xf numFmtId="0" fontId="45" fillId="0" borderId="43" xfId="0" applyFont="1" applyBorder="1" applyAlignment="1">
      <alignment horizontal="left" vertical="center" wrapText="1"/>
    </xf>
    <xf numFmtId="164" fontId="48" fillId="0" borderId="42" xfId="1" applyNumberFormat="1" applyFont="1" applyFill="1" applyBorder="1" applyAlignment="1">
      <alignment horizontal="center" vertical="center" wrapText="1"/>
    </xf>
    <xf numFmtId="164" fontId="48" fillId="0" borderId="44" xfId="1" applyNumberFormat="1" applyFont="1" applyFill="1" applyBorder="1" applyAlignment="1">
      <alignment horizontal="center" vertical="center" wrapText="1"/>
    </xf>
    <xf numFmtId="0" fontId="37" fillId="14" borderId="42" xfId="0" applyFont="1" applyFill="1" applyBorder="1" applyAlignment="1">
      <alignment horizontal="left" vertical="center" wrapText="1"/>
    </xf>
    <xf numFmtId="0" fontId="37" fillId="14" borderId="43" xfId="0" applyFont="1" applyFill="1" applyBorder="1" applyAlignment="1">
      <alignment horizontal="left" vertical="center" wrapText="1"/>
    </xf>
    <xf numFmtId="0" fontId="37" fillId="14" borderId="46" xfId="0" applyFont="1" applyFill="1" applyBorder="1" applyAlignment="1">
      <alignment horizontal="left" vertical="center" wrapText="1"/>
    </xf>
    <xf numFmtId="0" fontId="45" fillId="0" borderId="46" xfId="0" applyFont="1" applyBorder="1" applyAlignment="1">
      <alignment horizontal="center" vertical="center" wrapText="1"/>
    </xf>
    <xf numFmtId="0" fontId="45" fillId="0" borderId="46" xfId="0" applyFont="1" applyBorder="1" applyAlignment="1">
      <alignment horizontal="left" vertical="center" wrapText="1"/>
    </xf>
    <xf numFmtId="164" fontId="48" fillId="0" borderId="43" xfId="1" applyNumberFormat="1" applyFont="1" applyFill="1" applyBorder="1" applyAlignment="1">
      <alignment horizontal="center" vertical="center" wrapText="1"/>
    </xf>
    <xf numFmtId="164" fontId="48" fillId="0" borderId="46" xfId="1" applyNumberFormat="1" applyFont="1" applyFill="1" applyBorder="1" applyAlignment="1">
      <alignment horizontal="center" vertical="center" wrapText="1"/>
    </xf>
    <xf numFmtId="0" fontId="9" fillId="33" borderId="3" xfId="0" applyFont="1" applyFill="1" applyBorder="1" applyAlignment="1">
      <alignment horizontal="center" vertical="center"/>
    </xf>
    <xf numFmtId="0" fontId="9" fillId="33" borderId="4" xfId="0" applyFont="1" applyFill="1" applyBorder="1" applyAlignment="1">
      <alignment horizontal="center" vertical="center"/>
    </xf>
    <xf numFmtId="0" fontId="37" fillId="14" borderId="45" xfId="0" applyFont="1" applyFill="1" applyBorder="1" applyAlignment="1">
      <alignment horizontal="center" vertical="center" wrapText="1"/>
    </xf>
    <xf numFmtId="0" fontId="37" fillId="14" borderId="43" xfId="0" applyFont="1" applyFill="1" applyBorder="1" applyAlignment="1">
      <alignment horizontal="center" vertical="center" wrapText="1"/>
    </xf>
    <xf numFmtId="0" fontId="37" fillId="14" borderId="46" xfId="0" applyFont="1" applyFill="1" applyBorder="1" applyAlignment="1">
      <alignment horizontal="center" vertical="center" wrapText="1"/>
    </xf>
    <xf numFmtId="0" fontId="45" fillId="0" borderId="45" xfId="0" applyFont="1" applyBorder="1" applyAlignment="1">
      <alignment horizontal="center" vertical="center" wrapText="1"/>
    </xf>
    <xf numFmtId="164" fontId="48" fillId="0" borderId="45" xfId="1" applyNumberFormat="1" applyFont="1" applyFill="1" applyBorder="1" applyAlignment="1">
      <alignment horizontal="center" vertical="center" wrapText="1"/>
    </xf>
    <xf numFmtId="0" fontId="37" fillId="14" borderId="1" xfId="0" applyFont="1" applyFill="1" applyBorder="1" applyAlignment="1">
      <alignment horizontal="center" vertical="center" wrapText="1"/>
    </xf>
    <xf numFmtId="164" fontId="48" fillId="0" borderId="1" xfId="1" applyNumberFormat="1" applyFont="1" applyFill="1" applyBorder="1" applyAlignment="1">
      <alignment horizontal="center" vertical="center" wrapText="1"/>
    </xf>
    <xf numFmtId="0" fontId="37" fillId="14" borderId="42" xfId="0" applyFont="1" applyFill="1" applyBorder="1" applyAlignment="1">
      <alignment horizontal="center" vertical="center" wrapText="1"/>
    </xf>
    <xf numFmtId="0" fontId="37" fillId="14" borderId="44" xfId="0" applyFont="1" applyFill="1" applyBorder="1" applyAlignment="1">
      <alignment horizontal="center" vertical="center"/>
    </xf>
    <xf numFmtId="0" fontId="47" fillId="0" borderId="0" xfId="0" applyFont="1" applyAlignment="1">
      <alignment horizontal="center" vertical="center"/>
    </xf>
    <xf numFmtId="0" fontId="10" fillId="3" borderId="0" xfId="0" applyFont="1" applyFill="1" applyAlignment="1">
      <alignment horizontal="center" vertical="center" wrapText="1"/>
    </xf>
    <xf numFmtId="0" fontId="10" fillId="3" borderId="9" xfId="0" applyFont="1" applyFill="1" applyBorder="1" applyAlignment="1">
      <alignment horizontal="center" vertical="center" wrapText="1"/>
    </xf>
    <xf numFmtId="0" fontId="10" fillId="3" borderId="9" xfId="0" applyFont="1" applyFill="1" applyBorder="1" applyAlignment="1">
      <alignment horizontal="left" vertical="center" wrapText="1"/>
    </xf>
    <xf numFmtId="164" fontId="10" fillId="3" borderId="9" xfId="0" applyNumberFormat="1" applyFont="1" applyFill="1" applyBorder="1" applyAlignment="1">
      <alignment horizontal="center" wrapText="1"/>
    </xf>
    <xf numFmtId="0" fontId="6" fillId="0" borderId="2" xfId="0" applyFont="1" applyBorder="1" applyAlignment="1">
      <alignment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0" fontId="13" fillId="3" borderId="1" xfId="0" applyFont="1" applyFill="1" applyBorder="1" applyAlignment="1">
      <alignment horizontal="left" vertical="center" wrapText="1"/>
    </xf>
    <xf numFmtId="0" fontId="3" fillId="0" borderId="11"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26" xfId="0" applyFont="1" applyBorder="1" applyAlignment="1">
      <alignment horizontal="center" vertical="center" wrapText="1"/>
    </xf>
    <xf numFmtId="0" fontId="6" fillId="0" borderId="5" xfId="0" applyFont="1" applyBorder="1" applyAlignment="1">
      <alignment vertical="center" wrapText="1"/>
    </xf>
    <xf numFmtId="0" fontId="6" fillId="0" borderId="6" xfId="0" applyFont="1" applyBorder="1" applyAlignment="1">
      <alignment vertical="center" wrapText="1"/>
    </xf>
    <xf numFmtId="0" fontId="6" fillId="0" borderId="7" xfId="0" applyFont="1" applyBorder="1" applyAlignment="1">
      <alignment vertical="center" wrapText="1"/>
    </xf>
    <xf numFmtId="0" fontId="6" fillId="0" borderId="8" xfId="0" applyFont="1" applyBorder="1" applyAlignment="1">
      <alignment vertical="center" wrapText="1"/>
    </xf>
    <xf numFmtId="0" fontId="6" fillId="0" borderId="9" xfId="0" applyFont="1" applyBorder="1" applyAlignment="1">
      <alignment vertical="center" wrapText="1"/>
    </xf>
    <xf numFmtId="0" fontId="6" fillId="0" borderId="10" xfId="0" applyFont="1" applyBorder="1" applyAlignment="1">
      <alignment vertical="center" wrapText="1"/>
    </xf>
    <xf numFmtId="0" fontId="9" fillId="2" borderId="5" xfId="0" applyFont="1" applyFill="1" applyBorder="1" applyAlignment="1">
      <alignment horizontal="left" vertical="center"/>
    </xf>
    <xf numFmtId="0" fontId="9" fillId="2" borderId="8" xfId="0" applyFont="1" applyFill="1" applyBorder="1" applyAlignment="1">
      <alignment horizontal="left" vertical="center"/>
    </xf>
    <xf numFmtId="0" fontId="10" fillId="3" borderId="5" xfId="0" applyFont="1" applyFill="1" applyBorder="1" applyAlignment="1">
      <alignment horizontal="left" vertical="center" wrapText="1"/>
    </xf>
    <xf numFmtId="0" fontId="10" fillId="3" borderId="8" xfId="0" applyFont="1" applyFill="1" applyBorder="1" applyAlignment="1">
      <alignment horizontal="left" vertical="center" wrapText="1"/>
    </xf>
    <xf numFmtId="164" fontId="14" fillId="0" borderId="18" xfId="1" applyNumberFormat="1" applyFont="1" applyFill="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left" vertical="center" wrapText="1"/>
    </xf>
    <xf numFmtId="0" fontId="3" fillId="0" borderId="51" xfId="0" applyFont="1" applyBorder="1" applyAlignment="1">
      <alignment horizontal="left" vertical="center" wrapText="1"/>
    </xf>
    <xf numFmtId="0" fontId="3" fillId="0" borderId="53" xfId="0" applyFont="1" applyBorder="1" applyAlignment="1">
      <alignment horizontal="left" vertical="center" wrapText="1"/>
    </xf>
    <xf numFmtId="0" fontId="3" fillId="0" borderId="52" xfId="0" applyFont="1" applyBorder="1" applyAlignment="1">
      <alignment horizontal="left" vertical="center" wrapText="1"/>
    </xf>
    <xf numFmtId="0" fontId="6" fillId="0" borderId="0" xfId="0" applyFont="1" applyAlignment="1">
      <alignment horizontal="left" vertical="center" wrapText="1"/>
    </xf>
    <xf numFmtId="0" fontId="2" fillId="4" borderId="28" xfId="0" applyFont="1" applyFill="1" applyBorder="1" applyAlignment="1">
      <alignment vertical="center"/>
    </xf>
    <xf numFmtId="0" fontId="2" fillId="4" borderId="29" xfId="0" applyFont="1" applyFill="1" applyBorder="1" applyAlignment="1">
      <alignment vertical="center"/>
    </xf>
    <xf numFmtId="0" fontId="77" fillId="5" borderId="5" xfId="0" applyFont="1" applyFill="1" applyBorder="1" applyAlignment="1">
      <alignment horizontal="left" vertical="center" wrapText="1"/>
    </xf>
    <xf numFmtId="0" fontId="77" fillId="5" borderId="6" xfId="0" applyFont="1" applyFill="1" applyBorder="1" applyAlignment="1">
      <alignment horizontal="left" vertical="center" wrapText="1"/>
    </xf>
    <xf numFmtId="0" fontId="77" fillId="5" borderId="8" xfId="0" applyFont="1" applyFill="1" applyBorder="1" applyAlignment="1">
      <alignment horizontal="left" vertical="center" wrapText="1"/>
    </xf>
    <xf numFmtId="0" fontId="77" fillId="5" borderId="9" xfId="0" applyFont="1" applyFill="1" applyBorder="1" applyAlignment="1">
      <alignment horizontal="left" vertical="center" wrapText="1"/>
    </xf>
    <xf numFmtId="0" fontId="77" fillId="5" borderId="30" xfId="0" applyFont="1" applyFill="1" applyBorder="1" applyAlignment="1">
      <alignment vertical="center" wrapText="1"/>
    </xf>
    <xf numFmtId="0" fontId="77" fillId="5" borderId="31" xfId="0" applyFont="1" applyFill="1" applyBorder="1" applyAlignment="1">
      <alignment vertical="center" wrapText="1"/>
    </xf>
    <xf numFmtId="0" fontId="77" fillId="5" borderId="32" xfId="0" applyFont="1" applyFill="1" applyBorder="1" applyAlignment="1">
      <alignment vertical="center" wrapText="1"/>
    </xf>
    <xf numFmtId="0" fontId="77" fillId="5" borderId="1" xfId="0" applyFont="1" applyFill="1" applyBorder="1" applyAlignment="1">
      <alignment horizontal="left" vertical="center" wrapText="1"/>
    </xf>
    <xf numFmtId="0" fontId="13" fillId="3" borderId="1" xfId="3" applyFont="1" applyFill="1" applyBorder="1" applyAlignment="1">
      <alignment horizontal="left" vertical="center" wrapText="1"/>
    </xf>
    <xf numFmtId="0" fontId="3" fillId="0" borderId="11" xfId="3" applyFont="1" applyBorder="1" applyAlignment="1">
      <alignment horizontal="center" vertical="center" wrapText="1"/>
    </xf>
    <xf numFmtId="0" fontId="3" fillId="0" borderId="26" xfId="3" applyFont="1" applyBorder="1" applyAlignment="1">
      <alignment horizontal="center" vertical="center" wrapText="1"/>
    </xf>
    <xf numFmtId="0" fontId="3" fillId="0" borderId="12" xfId="3" applyFont="1" applyBorder="1" applyAlignment="1">
      <alignment horizontal="left" vertical="center" wrapText="1"/>
    </xf>
    <xf numFmtId="0" fontId="3" fillId="0" borderId="27" xfId="3" applyFont="1" applyBorder="1" applyAlignment="1">
      <alignment horizontal="left" vertical="center" wrapText="1"/>
    </xf>
    <xf numFmtId="0" fontId="13" fillId="3" borderId="1" xfId="0" applyFont="1" applyFill="1" applyBorder="1" applyAlignment="1">
      <alignment horizontal="left" vertical="center"/>
    </xf>
    <xf numFmtId="0" fontId="77" fillId="5" borderId="38" xfId="0" applyFont="1" applyFill="1" applyBorder="1" applyAlignment="1">
      <alignment vertical="center" wrapText="1"/>
    </xf>
    <xf numFmtId="0" fontId="3" fillId="0" borderId="13"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54" xfId="0" applyFont="1" applyBorder="1" applyAlignment="1">
      <alignment horizontal="left" vertical="center" wrapText="1"/>
    </xf>
    <xf numFmtId="0" fontId="77" fillId="5" borderId="30" xfId="0" applyFont="1" applyFill="1" applyBorder="1" applyAlignment="1">
      <alignment horizontal="left" vertical="center" wrapText="1"/>
    </xf>
    <xf numFmtId="0" fontId="77" fillId="5" borderId="31" xfId="0" applyFont="1" applyFill="1" applyBorder="1" applyAlignment="1">
      <alignment horizontal="left" vertical="center" wrapText="1"/>
    </xf>
    <xf numFmtId="0" fontId="77" fillId="5" borderId="38" xfId="0" applyFont="1" applyFill="1" applyBorder="1" applyAlignment="1">
      <alignment horizontal="left" vertical="center" wrapText="1"/>
    </xf>
    <xf numFmtId="0" fontId="77" fillId="9" borderId="30" xfId="0" applyFont="1" applyFill="1" applyBorder="1" applyAlignment="1">
      <alignment horizontal="left" vertical="center" wrapText="1"/>
    </xf>
    <xf numFmtId="0" fontId="77" fillId="9" borderId="31" xfId="0" applyFont="1" applyFill="1" applyBorder="1" applyAlignment="1">
      <alignment horizontal="left" vertical="center"/>
    </xf>
    <xf numFmtId="0" fontId="77" fillId="9" borderId="32" xfId="0" applyFont="1" applyFill="1" applyBorder="1" applyAlignment="1">
      <alignment horizontal="left" vertical="center"/>
    </xf>
    <xf numFmtId="0" fontId="77" fillId="9" borderId="31" xfId="0" applyFont="1" applyFill="1" applyBorder="1" applyAlignment="1">
      <alignment horizontal="left" vertical="center" wrapText="1"/>
    </xf>
    <xf numFmtId="0" fontId="77" fillId="9" borderId="32" xfId="0" applyFont="1" applyFill="1" applyBorder="1" applyAlignment="1">
      <alignment horizontal="left" vertical="center" wrapText="1"/>
    </xf>
    <xf numFmtId="0" fontId="81" fillId="10" borderId="28" xfId="0" applyFont="1" applyFill="1" applyBorder="1" applyAlignment="1">
      <alignment vertical="center"/>
    </xf>
    <xf numFmtId="0" fontId="81" fillId="10" borderId="29" xfId="0" applyFont="1" applyFill="1" applyBorder="1" applyAlignment="1">
      <alignment vertical="center"/>
    </xf>
    <xf numFmtId="0" fontId="77" fillId="7" borderId="5" xfId="0" applyFont="1" applyFill="1" applyBorder="1" applyAlignment="1">
      <alignment horizontal="left" vertical="center" wrapText="1"/>
    </xf>
    <xf numFmtId="0" fontId="77" fillId="7" borderId="6" xfId="0" applyFont="1" applyFill="1" applyBorder="1" applyAlignment="1">
      <alignment horizontal="left" vertical="center" wrapText="1"/>
    </xf>
    <xf numFmtId="0" fontId="77" fillId="7" borderId="8" xfId="0" applyFont="1" applyFill="1" applyBorder="1" applyAlignment="1">
      <alignment horizontal="left" vertical="center" wrapText="1"/>
    </xf>
    <xf numFmtId="0" fontId="77" fillId="7" borderId="9" xfId="0" applyFont="1" applyFill="1" applyBorder="1" applyAlignment="1">
      <alignment horizontal="left" vertical="center" wrapText="1"/>
    </xf>
    <xf numFmtId="0" fontId="77" fillId="7" borderId="30" xfId="0" applyFont="1" applyFill="1" applyBorder="1" applyAlignment="1">
      <alignment vertical="center" wrapText="1"/>
    </xf>
    <xf numFmtId="0" fontId="77" fillId="7" borderId="31" xfId="0" applyFont="1" applyFill="1" applyBorder="1" applyAlignment="1">
      <alignment vertical="center" wrapText="1"/>
    </xf>
    <xf numFmtId="0" fontId="77" fillId="7" borderId="32" xfId="0" applyFont="1" applyFill="1" applyBorder="1" applyAlignment="1">
      <alignment vertical="center" wrapText="1"/>
    </xf>
    <xf numFmtId="0" fontId="77" fillId="11" borderId="5" xfId="0" applyFont="1" applyFill="1" applyBorder="1" applyAlignment="1">
      <alignment horizontal="left" vertical="center" wrapText="1"/>
    </xf>
    <xf numFmtId="0" fontId="77" fillId="11" borderId="6" xfId="0" applyFont="1" applyFill="1" applyBorder="1" applyAlignment="1">
      <alignment horizontal="left" vertical="center" wrapText="1"/>
    </xf>
    <xf numFmtId="0" fontId="77" fillId="11" borderId="8" xfId="0" applyFont="1" applyFill="1" applyBorder="1" applyAlignment="1">
      <alignment horizontal="left" vertical="center" wrapText="1"/>
    </xf>
    <xf numFmtId="0" fontId="77" fillId="11" borderId="9" xfId="0" applyFont="1" applyFill="1" applyBorder="1" applyAlignment="1">
      <alignment horizontal="left" vertical="center" wrapText="1"/>
    </xf>
    <xf numFmtId="0" fontId="80" fillId="0" borderId="13" xfId="0" applyFont="1" applyBorder="1" applyAlignment="1">
      <alignment horizontal="center" vertical="center" wrapText="1"/>
    </xf>
    <xf numFmtId="0" fontId="80" fillId="0" borderId="17" xfId="0" applyFont="1" applyBorder="1" applyAlignment="1">
      <alignment horizontal="center" vertical="center" wrapText="1"/>
    </xf>
    <xf numFmtId="0" fontId="80" fillId="0" borderId="21"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22" xfId="0" applyFont="1" applyBorder="1" applyAlignment="1">
      <alignment horizontal="center" vertical="center" wrapText="1"/>
    </xf>
    <xf numFmtId="0" fontId="80" fillId="0" borderId="12" xfId="0" applyFont="1" applyBorder="1" applyAlignment="1">
      <alignment horizontal="center" vertical="center" wrapText="1"/>
    </xf>
    <xf numFmtId="0" fontId="80" fillId="0" borderId="16" xfId="0" applyFont="1" applyBorder="1" applyAlignment="1">
      <alignment horizontal="center" vertical="center" wrapText="1"/>
    </xf>
    <xf numFmtId="0" fontId="80" fillId="0" borderId="27" xfId="0" applyFont="1" applyBorder="1" applyAlignment="1">
      <alignment horizontal="center" vertical="center" wrapText="1"/>
    </xf>
    <xf numFmtId="0" fontId="80" fillId="0" borderId="24" xfId="0" applyFont="1" applyBorder="1" applyAlignment="1">
      <alignment horizontal="center" vertical="center" wrapText="1"/>
    </xf>
    <xf numFmtId="0" fontId="80" fillId="0" borderId="20" xfId="0" applyFont="1" applyBorder="1" applyAlignment="1">
      <alignment horizontal="center" vertical="center" wrapText="1"/>
    </xf>
    <xf numFmtId="0" fontId="77" fillId="5" borderId="32" xfId="0" applyFont="1" applyFill="1" applyBorder="1" applyAlignment="1">
      <alignment horizontal="left" vertical="center" wrapText="1"/>
    </xf>
    <xf numFmtId="0" fontId="77" fillId="5" borderId="33" xfId="0" applyFont="1" applyFill="1" applyBorder="1" applyAlignment="1">
      <alignment horizontal="left" vertical="center" wrapText="1"/>
    </xf>
    <xf numFmtId="0" fontId="77" fillId="5" borderId="34" xfId="0" applyFont="1" applyFill="1" applyBorder="1" applyAlignment="1">
      <alignment horizontal="left" vertical="center" wrapText="1"/>
    </xf>
    <xf numFmtId="0" fontId="3" fillId="0" borderId="13" xfId="0" applyFont="1" applyBorder="1" applyAlignment="1">
      <alignment horizontal="left" vertical="center" wrapText="1"/>
    </xf>
    <xf numFmtId="0" fontId="43" fillId="0" borderId="17" xfId="0" applyFont="1" applyBorder="1" applyAlignment="1">
      <alignment horizontal="center" vertical="center" wrapText="1"/>
    </xf>
    <xf numFmtId="0" fontId="43" fillId="0" borderId="22" xfId="0" applyFont="1" applyBorder="1" applyAlignment="1">
      <alignment horizontal="center" vertical="center" wrapText="1"/>
    </xf>
    <xf numFmtId="0" fontId="77" fillId="7" borderId="30" xfId="0" applyFont="1" applyFill="1" applyBorder="1" applyAlignment="1">
      <alignment horizontal="left" vertical="center" wrapText="1"/>
    </xf>
    <xf numFmtId="0" fontId="77" fillId="7" borderId="31" xfId="0" applyFont="1" applyFill="1" applyBorder="1" applyAlignment="1">
      <alignment horizontal="left" vertical="center" wrapText="1"/>
    </xf>
    <xf numFmtId="0" fontId="77" fillId="7" borderId="32" xfId="0" applyFont="1" applyFill="1" applyBorder="1" applyAlignment="1">
      <alignment horizontal="left" vertical="center" wrapText="1"/>
    </xf>
    <xf numFmtId="0" fontId="2" fillId="8" borderId="28" xfId="0" applyFont="1" applyFill="1" applyBorder="1" applyAlignment="1">
      <alignment vertical="center"/>
    </xf>
    <xf numFmtId="0" fontId="2" fillId="8" borderId="29" xfId="0" applyFont="1" applyFill="1" applyBorder="1" applyAlignment="1">
      <alignment vertical="center"/>
    </xf>
    <xf numFmtId="0" fontId="77" fillId="9" borderId="5" xfId="0" applyFont="1" applyFill="1" applyBorder="1" applyAlignment="1">
      <alignment horizontal="left" vertical="center"/>
    </xf>
    <xf numFmtId="0" fontId="77" fillId="9" borderId="6" xfId="0" applyFont="1" applyFill="1" applyBorder="1" applyAlignment="1">
      <alignment horizontal="left" vertical="center"/>
    </xf>
    <xf numFmtId="0" fontId="77" fillId="9" borderId="8" xfId="0" applyFont="1" applyFill="1" applyBorder="1" applyAlignment="1">
      <alignment horizontal="left" vertical="center"/>
    </xf>
    <xf numFmtId="0" fontId="77" fillId="9" borderId="9" xfId="0" applyFont="1" applyFill="1" applyBorder="1" applyAlignment="1">
      <alignment horizontal="left" vertical="center"/>
    </xf>
    <xf numFmtId="0" fontId="2" fillId="6" borderId="28" xfId="0" applyFont="1" applyFill="1" applyBorder="1" applyAlignment="1">
      <alignment vertical="center"/>
    </xf>
    <xf numFmtId="0" fontId="2" fillId="6" borderId="29" xfId="0" applyFont="1" applyFill="1" applyBorder="1" applyAlignment="1">
      <alignment vertical="center"/>
    </xf>
    <xf numFmtId="0" fontId="77" fillId="12" borderId="30" xfId="0" applyFont="1" applyFill="1" applyBorder="1" applyAlignment="1">
      <alignment horizontal="left" vertical="center" wrapText="1"/>
    </xf>
    <xf numFmtId="0" fontId="77" fillId="12" borderId="31" xfId="0" applyFont="1" applyFill="1" applyBorder="1" applyAlignment="1">
      <alignment horizontal="left" vertical="center"/>
    </xf>
    <xf numFmtId="0" fontId="77" fillId="12" borderId="32" xfId="0" applyFont="1" applyFill="1" applyBorder="1" applyAlignment="1">
      <alignment horizontal="left" vertical="center"/>
    </xf>
    <xf numFmtId="0" fontId="77" fillId="12" borderId="30" xfId="0" applyFont="1" applyFill="1" applyBorder="1" applyAlignment="1">
      <alignment vertical="center" wrapText="1"/>
    </xf>
    <xf numFmtId="0" fontId="77" fillId="12" borderId="31" xfId="0" applyFont="1" applyFill="1" applyBorder="1" applyAlignment="1">
      <alignment vertical="center"/>
    </xf>
    <xf numFmtId="0" fontId="77" fillId="12" borderId="32" xfId="0" applyFont="1" applyFill="1" applyBorder="1" applyAlignment="1">
      <alignment vertical="center"/>
    </xf>
    <xf numFmtId="0" fontId="3" fillId="0" borderId="0" xfId="0" applyFont="1" applyAlignment="1">
      <alignment horizontal="left" wrapText="1"/>
    </xf>
    <xf numFmtId="0" fontId="2" fillId="0" borderId="0" xfId="0" applyFont="1" applyAlignment="1">
      <alignment horizontal="left"/>
    </xf>
    <xf numFmtId="0" fontId="77" fillId="12" borderId="41" xfId="0" applyFont="1" applyFill="1" applyBorder="1" applyAlignment="1">
      <alignment horizontal="left" vertical="center" wrapText="1"/>
    </xf>
    <xf numFmtId="0" fontId="77" fillId="12" borderId="31" xfId="0" applyFont="1" applyFill="1" applyBorder="1" applyAlignment="1">
      <alignment horizontal="left" vertical="center" wrapText="1"/>
    </xf>
    <xf numFmtId="0" fontId="77" fillId="12" borderId="32" xfId="0" applyFont="1" applyFill="1" applyBorder="1" applyAlignment="1">
      <alignment horizontal="left" vertical="center" wrapText="1"/>
    </xf>
    <xf numFmtId="0" fontId="23" fillId="13" borderId="18" xfId="0" applyFont="1" applyFill="1" applyBorder="1" applyAlignment="1">
      <alignment horizontal="center" vertical="center" wrapText="1"/>
    </xf>
    <xf numFmtId="0" fontId="23" fillId="13" borderId="17" xfId="0" applyFont="1" applyFill="1" applyBorder="1" applyAlignment="1">
      <alignment horizontal="center" vertical="center" wrapText="1"/>
    </xf>
    <xf numFmtId="0" fontId="23" fillId="13" borderId="22" xfId="0" applyFont="1" applyFill="1" applyBorder="1" applyAlignment="1">
      <alignment horizontal="center" vertical="center" wrapText="1"/>
    </xf>
    <xf numFmtId="0" fontId="23" fillId="48" borderId="18" xfId="0" applyFont="1" applyFill="1" applyBorder="1" applyAlignment="1">
      <alignment horizontal="center" vertical="center" wrapText="1"/>
    </xf>
    <xf numFmtId="0" fontId="23" fillId="48" borderId="17" xfId="0" applyFont="1" applyFill="1" applyBorder="1" applyAlignment="1">
      <alignment horizontal="center" vertical="center" wrapText="1"/>
    </xf>
    <xf numFmtId="0" fontId="23" fillId="48" borderId="22" xfId="0" applyFont="1" applyFill="1" applyBorder="1" applyAlignment="1">
      <alignment horizontal="center" vertical="center" wrapText="1"/>
    </xf>
    <xf numFmtId="0" fontId="77" fillId="7" borderId="33" xfId="0" applyFont="1" applyFill="1" applyBorder="1" applyAlignment="1">
      <alignment horizontal="left" vertical="center" wrapText="1"/>
    </xf>
    <xf numFmtId="0" fontId="77" fillId="7" borderId="34" xfId="0" applyFont="1" applyFill="1" applyBorder="1" applyAlignment="1">
      <alignment horizontal="left" vertical="center" wrapText="1"/>
    </xf>
    <xf numFmtId="0" fontId="77" fillId="7" borderId="35" xfId="0" applyFont="1" applyFill="1" applyBorder="1" applyAlignment="1">
      <alignment horizontal="left" vertical="center" wrapText="1"/>
    </xf>
    <xf numFmtId="0" fontId="2" fillId="46" borderId="28" xfId="0" applyFont="1" applyFill="1" applyBorder="1" applyAlignment="1">
      <alignment vertical="center"/>
    </xf>
    <xf numFmtId="0" fontId="2" fillId="46" borderId="29" xfId="0" applyFont="1" applyFill="1" applyBorder="1" applyAlignment="1">
      <alignment vertical="center"/>
    </xf>
    <xf numFmtId="0" fontId="81" fillId="47" borderId="28" xfId="0" applyFont="1" applyFill="1" applyBorder="1" applyAlignment="1">
      <alignment vertical="center"/>
    </xf>
    <xf numFmtId="0" fontId="81" fillId="47" borderId="29" xfId="0" applyFont="1" applyFill="1" applyBorder="1" applyAlignment="1">
      <alignment vertical="center"/>
    </xf>
    <xf numFmtId="0" fontId="80" fillId="0" borderId="22" xfId="0" applyFont="1" applyBorder="1" applyAlignment="1">
      <alignment horizontal="center" vertical="center" wrapText="1"/>
    </xf>
    <xf numFmtId="0" fontId="71" fillId="0" borderId="0" xfId="0" applyFont="1" applyAlignment="1">
      <alignment horizontal="center" vertical="center" wrapText="1"/>
    </xf>
    <xf numFmtId="0" fontId="71" fillId="0" borderId="0" xfId="0" applyFont="1" applyAlignment="1">
      <alignment horizontal="center" vertical="center"/>
    </xf>
    <xf numFmtId="0" fontId="8" fillId="0" borderId="2" xfId="0" applyFont="1" applyBorder="1" applyAlignment="1">
      <alignment vertical="center" wrapText="1"/>
    </xf>
    <xf numFmtId="0" fontId="8" fillId="0" borderId="3" xfId="0" applyFont="1" applyBorder="1" applyAlignment="1">
      <alignment vertical="center" wrapText="1"/>
    </xf>
    <xf numFmtId="0" fontId="8" fillId="0" borderId="4" xfId="0" applyFont="1" applyBorder="1" applyAlignment="1">
      <alignment vertical="center" wrapText="1"/>
    </xf>
    <xf numFmtId="0" fontId="8" fillId="0" borderId="5" xfId="0" applyFont="1" applyBorder="1" applyAlignment="1">
      <alignment vertical="center" wrapText="1"/>
    </xf>
    <xf numFmtId="0" fontId="8" fillId="0" borderId="6" xfId="0" applyFont="1" applyBorder="1" applyAlignment="1">
      <alignment vertical="center" wrapText="1"/>
    </xf>
    <xf numFmtId="0" fontId="8" fillId="0" borderId="7" xfId="0" applyFont="1" applyBorder="1" applyAlignment="1">
      <alignment vertical="center" wrapText="1"/>
    </xf>
    <xf numFmtId="0" fontId="8" fillId="0" borderId="8" xfId="0" applyFont="1" applyBorder="1" applyAlignment="1">
      <alignment vertical="center" wrapText="1"/>
    </xf>
    <xf numFmtId="0" fontId="8" fillId="0" borderId="9" xfId="0" applyFont="1" applyBorder="1" applyAlignment="1">
      <alignment vertical="center" wrapText="1"/>
    </xf>
    <xf numFmtId="0" fontId="8" fillId="0" borderId="10" xfId="0" applyFont="1" applyBorder="1" applyAlignment="1">
      <alignment vertical="center" wrapText="1"/>
    </xf>
    <xf numFmtId="0" fontId="8" fillId="14" borderId="1" xfId="0" applyFont="1" applyFill="1" applyBorder="1" applyAlignment="1">
      <alignment horizontal="center" vertical="center" wrapText="1"/>
    </xf>
    <xf numFmtId="0" fontId="2" fillId="42" borderId="36" xfId="0" applyFont="1" applyFill="1" applyBorder="1" applyAlignment="1">
      <alignment horizontal="center" vertical="center" wrapText="1"/>
    </xf>
    <xf numFmtId="0" fontId="2" fillId="42" borderId="0" xfId="0" applyFont="1" applyFill="1" applyAlignment="1">
      <alignment horizontal="center" vertical="center" wrapText="1"/>
    </xf>
    <xf numFmtId="0" fontId="77" fillId="3" borderId="5" xfId="0" applyFont="1" applyFill="1" applyBorder="1" applyAlignment="1">
      <alignment horizontal="left" vertical="center" wrapText="1"/>
    </xf>
    <xf numFmtId="0" fontId="77" fillId="3" borderId="6" xfId="0" applyFont="1" applyFill="1" applyBorder="1" applyAlignment="1">
      <alignment horizontal="left" vertical="center" wrapText="1"/>
    </xf>
    <xf numFmtId="0" fontId="77" fillId="3" borderId="8" xfId="0" applyFont="1" applyFill="1" applyBorder="1" applyAlignment="1">
      <alignment horizontal="left" vertical="center" wrapText="1"/>
    </xf>
    <xf numFmtId="0" fontId="77" fillId="3" borderId="9" xfId="0" applyFont="1" applyFill="1" applyBorder="1" applyAlignment="1">
      <alignment horizontal="left" vertical="center" wrapText="1"/>
    </xf>
    <xf numFmtId="0" fontId="77" fillId="3" borderId="1" xfId="0" applyFont="1" applyFill="1" applyBorder="1" applyAlignment="1">
      <alignment horizontal="left" vertical="center" wrapText="1"/>
    </xf>
    <xf numFmtId="164" fontId="43" fillId="0" borderId="12" xfId="1" applyNumberFormat="1" applyFont="1" applyFill="1" applyBorder="1" applyAlignment="1">
      <alignment horizontal="center" vertical="center" wrapText="1"/>
    </xf>
    <xf numFmtId="164" fontId="43" fillId="0" borderId="18" xfId="1" applyNumberFormat="1" applyFont="1" applyFill="1" applyBorder="1" applyAlignment="1">
      <alignment horizontal="center" vertical="center" wrapText="1"/>
    </xf>
    <xf numFmtId="164" fontId="43" fillId="0" borderId="17" xfId="1" applyNumberFormat="1" applyFont="1" applyFill="1" applyBorder="1" applyAlignment="1">
      <alignment horizontal="center" vertical="center" wrapText="1"/>
    </xf>
    <xf numFmtId="164" fontId="43" fillId="0" borderId="22" xfId="1" applyNumberFormat="1" applyFont="1" applyFill="1" applyBorder="1" applyAlignment="1">
      <alignment horizontal="center" vertical="center" wrapText="1"/>
    </xf>
    <xf numFmtId="0" fontId="2" fillId="43" borderId="5" xfId="0" applyFont="1" applyFill="1" applyBorder="1" applyAlignment="1">
      <alignment horizontal="left" vertical="center"/>
    </xf>
    <xf numFmtId="0" fontId="2" fillId="43" borderId="8" xfId="0" applyFont="1" applyFill="1" applyBorder="1" applyAlignment="1">
      <alignment horizontal="left" vertical="center"/>
    </xf>
    <xf numFmtId="0" fontId="77" fillId="3" borderId="1" xfId="0" applyFont="1" applyFill="1" applyBorder="1" applyAlignment="1">
      <alignment horizontal="left" vertical="center"/>
    </xf>
    <xf numFmtId="0" fontId="77" fillId="5" borderId="34" xfId="0" applyFont="1" applyFill="1" applyBorder="1" applyAlignment="1">
      <alignment vertical="center" wrapText="1"/>
    </xf>
    <xf numFmtId="0" fontId="77" fillId="5" borderId="35" xfId="0" applyFont="1" applyFill="1" applyBorder="1" applyAlignment="1">
      <alignment vertical="center" wrapText="1"/>
    </xf>
    <xf numFmtId="0" fontId="3" fillId="0" borderId="59" xfId="0" applyFont="1" applyBorder="1" applyAlignment="1">
      <alignment horizontal="left" vertical="center" wrapText="1"/>
    </xf>
    <xf numFmtId="0" fontId="3" fillId="0" borderId="60" xfId="0" applyFont="1" applyBorder="1" applyAlignment="1">
      <alignment horizontal="left" vertical="center" wrapText="1"/>
    </xf>
    <xf numFmtId="0" fontId="77" fillId="5" borderId="41" xfId="0" applyFont="1" applyFill="1" applyBorder="1" applyAlignment="1">
      <alignment vertical="center" wrapText="1"/>
    </xf>
    <xf numFmtId="0" fontId="84" fillId="2" borderId="1" xfId="0" applyFont="1" applyFill="1" applyBorder="1" applyAlignment="1">
      <alignment horizontal="center" vertical="center" wrapText="1"/>
    </xf>
    <xf numFmtId="0" fontId="84" fillId="10" borderId="1" xfId="0" applyFont="1" applyFill="1" applyBorder="1" applyAlignment="1">
      <alignment horizontal="center" vertical="center" wrapText="1"/>
    </xf>
    <xf numFmtId="0" fontId="3" fillId="0" borderId="1" xfId="0" applyFont="1" applyBorder="1" applyAlignment="1">
      <alignment horizontal="center" vertical="center" wrapText="1"/>
    </xf>
    <xf numFmtId="164" fontId="43" fillId="0" borderId="13" xfId="1" applyNumberFormat="1" applyFont="1" applyFill="1" applyBorder="1" applyAlignment="1">
      <alignment horizontal="center" vertical="center" wrapText="1"/>
    </xf>
    <xf numFmtId="0" fontId="77" fillId="3" borderId="1" xfId="2" applyFont="1" applyFill="1" applyBorder="1" applyAlignment="1">
      <alignment horizontal="left" vertical="center" wrapText="1"/>
    </xf>
    <xf numFmtId="0" fontId="3" fillId="0" borderId="11" xfId="2" applyFont="1" applyBorder="1" applyAlignment="1">
      <alignment horizontal="center" vertical="center" wrapText="1"/>
    </xf>
    <xf numFmtId="0" fontId="3" fillId="0" borderId="26" xfId="2" applyFont="1" applyBorder="1" applyAlignment="1">
      <alignment horizontal="center" vertical="center" wrapText="1"/>
    </xf>
    <xf numFmtId="0" fontId="3" fillId="0" borderId="12" xfId="2" applyFont="1" applyBorder="1" applyAlignment="1">
      <alignment horizontal="left" vertical="center" wrapText="1"/>
    </xf>
    <xf numFmtId="0" fontId="3" fillId="0" borderId="27" xfId="2" applyFont="1" applyBorder="1" applyAlignment="1">
      <alignment horizontal="left" vertical="center" wrapText="1"/>
    </xf>
    <xf numFmtId="164" fontId="43" fillId="0" borderId="27" xfId="1" applyNumberFormat="1" applyFont="1" applyFill="1" applyBorder="1" applyAlignment="1">
      <alignment horizontal="center" vertical="center" wrapText="1"/>
    </xf>
    <xf numFmtId="0" fontId="2" fillId="44" borderId="28" xfId="0" applyFont="1" applyFill="1" applyBorder="1" applyAlignment="1">
      <alignment vertical="center"/>
    </xf>
    <xf numFmtId="0" fontId="2" fillId="44" borderId="29" xfId="0" applyFont="1" applyFill="1" applyBorder="1" applyAlignment="1">
      <alignment vertical="center"/>
    </xf>
    <xf numFmtId="0" fontId="77" fillId="12" borderId="41" xfId="0" applyFont="1" applyFill="1" applyBorder="1" applyAlignment="1">
      <alignment vertical="center" wrapText="1"/>
    </xf>
    <xf numFmtId="0" fontId="80" fillId="0" borderId="15" xfId="0" applyFont="1" applyBorder="1" applyAlignment="1">
      <alignment horizontal="center" vertical="center" wrapText="1"/>
    </xf>
    <xf numFmtId="0" fontId="80" fillId="0" borderId="58" xfId="0" applyFont="1" applyBorder="1" applyAlignment="1">
      <alignment horizontal="center" vertical="center" wrapText="1"/>
    </xf>
    <xf numFmtId="0" fontId="43" fillId="0" borderId="12"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27" xfId="0" applyFont="1" applyBorder="1" applyAlignment="1">
      <alignment horizontal="center" vertical="center" wrapText="1"/>
    </xf>
    <xf numFmtId="0" fontId="2" fillId="45" borderId="28" xfId="0" applyFont="1" applyFill="1" applyBorder="1" applyAlignment="1">
      <alignment vertical="center"/>
    </xf>
    <xf numFmtId="0" fontId="2" fillId="45" borderId="29" xfId="0" applyFont="1" applyFill="1" applyBorder="1" applyAlignment="1">
      <alignment vertical="center"/>
    </xf>
  </cellXfs>
  <cellStyles count="4">
    <cellStyle name="Comma" xfId="1" builtinId="3"/>
    <cellStyle name="Normal" xfId="0" builtinId="0"/>
    <cellStyle name="Normal 2" xfId="2" xr:uid="{00000000-0005-0000-0000-000002000000}"/>
    <cellStyle name="Normal 2 2" xfId="3" xr:uid="{00000000-0005-0000-0000-000003000000}"/>
  </cellStyles>
  <dxfs count="0"/>
  <tableStyles count="0" defaultTableStyle="TableStyleMedium2" defaultPivotStyle="PivotStyleLight16"/>
  <colors>
    <mruColors>
      <color rgb="FF996633"/>
      <color rgb="FFFFFFFF"/>
      <color rgb="FF00FF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4</xdr:row>
      <xdr:rowOff>161926</xdr:rowOff>
    </xdr:from>
    <xdr:to>
      <xdr:col>5</xdr:col>
      <xdr:colOff>590551</xdr:colOff>
      <xdr:row>10</xdr:row>
      <xdr:rowOff>133350</xdr:rowOff>
    </xdr:to>
    <xdr:pic>
      <xdr:nvPicPr>
        <xdr:cNvPr id="2" name="Picture 2">
          <a:extLst>
            <a:ext uri="{FF2B5EF4-FFF2-40B4-BE49-F238E27FC236}">
              <a16:creationId xmlns:a16="http://schemas.microsoft.com/office/drawing/2014/main" id="{8DC21AA9-28D0-4176-B6CB-A40C53433D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501" t="32625" r="29678" b="19019"/>
        <a:stretch>
          <a:fillRect/>
        </a:stretch>
      </xdr:blipFill>
      <xdr:spPr bwMode="auto">
        <a:xfrm>
          <a:off x="1" y="1371601"/>
          <a:ext cx="6019800" cy="3600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5</xdr:col>
      <xdr:colOff>123824</xdr:colOff>
      <xdr:row>11</xdr:row>
      <xdr:rowOff>82829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90575"/>
          <a:ext cx="6753224" cy="3730904"/>
        </a:xfrm>
        <a:prstGeom prst="rect">
          <a:avLst/>
        </a:prstGeom>
      </xdr:spPr>
    </xdr:pic>
    <xdr:clientData/>
  </xdr:twoCellAnchor>
  <xdr:twoCellAnchor editAs="oneCell">
    <xdr:from>
      <xdr:col>0</xdr:col>
      <xdr:colOff>9525</xdr:colOff>
      <xdr:row>3</xdr:row>
      <xdr:rowOff>9525</xdr:rowOff>
    </xdr:from>
    <xdr:to>
      <xdr:col>5</xdr:col>
      <xdr:colOff>123825</xdr:colOff>
      <xdr:row>11</xdr:row>
      <xdr:rowOff>66675</xdr:rowOff>
    </xdr:to>
    <xdr:pic>
      <xdr:nvPicPr>
        <xdr:cNvPr id="3" name="Picture 2">
          <a:extLst>
            <a:ext uri="{FF2B5EF4-FFF2-40B4-BE49-F238E27FC236}">
              <a16:creationId xmlns:a16="http://schemas.microsoft.com/office/drawing/2014/main" id="{7DB887FD-4830-4D51-BC2F-6ACE058111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1009650"/>
          <a:ext cx="6743700" cy="3705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377789</xdr:colOff>
      <xdr:row>1</xdr:row>
      <xdr:rowOff>566091</xdr:rowOff>
    </xdr:from>
    <xdr:to>
      <xdr:col>3</xdr:col>
      <xdr:colOff>2524125</xdr:colOff>
      <xdr:row>2</xdr:row>
      <xdr:rowOff>0</xdr:rowOff>
    </xdr:to>
    <xdr:cxnSp macro="">
      <xdr:nvCxnSpPr>
        <xdr:cNvPr id="2" name="Straight Connector 1">
          <a:extLst>
            <a:ext uri="{FF2B5EF4-FFF2-40B4-BE49-F238E27FC236}">
              <a16:creationId xmlns:a16="http://schemas.microsoft.com/office/drawing/2014/main" id="{E9E33A88-9594-4A63-91C4-F6ADD368D1C5}"/>
            </a:ext>
          </a:extLst>
        </xdr:cNvPr>
        <xdr:cNvCxnSpPr/>
      </xdr:nvCxnSpPr>
      <xdr:spPr>
        <a:xfrm>
          <a:off x="2101814" y="680391"/>
          <a:ext cx="2146336" cy="5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3399"/>
  </sheetPr>
  <dimension ref="A1:F117"/>
  <sheetViews>
    <sheetView topLeftCell="A103" workbookViewId="0">
      <selection activeCell="A27" sqref="A27:A29"/>
    </sheetView>
  </sheetViews>
  <sheetFormatPr defaultColWidth="8.83984375" defaultRowHeight="15.3"/>
  <cols>
    <col min="1" max="1" width="11.68359375" style="1" customWidth="1"/>
    <col min="2" max="2" width="8.578125" style="2" customWidth="1"/>
    <col min="3" max="3" width="4.68359375" style="2" customWidth="1"/>
    <col min="4" max="4" width="47.15625" style="3" customWidth="1"/>
    <col min="5" max="5" width="9.26171875" style="2" customWidth="1"/>
    <col min="6" max="6" width="9" style="4" customWidth="1"/>
    <col min="7" max="16384" width="8.83984375" style="5"/>
  </cols>
  <sheetData>
    <row r="1" spans="1:6">
      <c r="A1" s="5" t="s">
        <v>106</v>
      </c>
    </row>
    <row r="2" spans="1:6">
      <c r="A2" s="1" t="s">
        <v>107</v>
      </c>
    </row>
    <row r="3" spans="1:6" ht="9.6" customHeight="1"/>
    <row r="4" spans="1:6" ht="55.15" customHeight="1">
      <c r="A4" s="418" t="s">
        <v>108</v>
      </c>
      <c r="B4" s="419"/>
      <c r="C4" s="419"/>
      <c r="D4" s="419"/>
      <c r="E4" s="419"/>
      <c r="F4" s="419"/>
    </row>
    <row r="5" spans="1:6" ht="14.1" customHeight="1">
      <c r="A5" s="6"/>
      <c r="B5" s="7"/>
      <c r="C5" s="7"/>
      <c r="D5" s="7"/>
      <c r="E5" s="7"/>
      <c r="F5" s="7"/>
    </row>
    <row r="6" spans="1:6" ht="48.75" customHeight="1">
      <c r="A6" s="6"/>
      <c r="B6" s="7"/>
      <c r="C6" s="7"/>
      <c r="D6" s="7"/>
      <c r="E6" s="7"/>
      <c r="F6" s="7"/>
    </row>
    <row r="7" spans="1:6" ht="55.15" customHeight="1">
      <c r="A7" s="6"/>
      <c r="B7" s="7"/>
      <c r="C7" s="7"/>
      <c r="D7" s="7"/>
      <c r="E7" s="7"/>
      <c r="F7" s="7"/>
    </row>
    <row r="8" spans="1:6" ht="55.15" customHeight="1">
      <c r="A8" s="6"/>
      <c r="B8" s="7"/>
      <c r="C8" s="7"/>
      <c r="D8" s="7"/>
      <c r="E8" s="7"/>
      <c r="F8" s="7"/>
    </row>
    <row r="9" spans="1:6" ht="55.15" customHeight="1">
      <c r="A9" s="6"/>
      <c r="B9" s="7"/>
      <c r="C9" s="7"/>
      <c r="D9" s="7"/>
      <c r="E9" s="7"/>
      <c r="F9" s="7"/>
    </row>
    <row r="10" spans="1:6" ht="59.25" customHeight="1">
      <c r="A10" s="6"/>
      <c r="B10" s="7"/>
      <c r="C10" s="7"/>
      <c r="D10" s="7"/>
      <c r="E10" s="7"/>
      <c r="F10" s="7"/>
    </row>
    <row r="11" spans="1:6" ht="17.100000000000001" customHeight="1">
      <c r="A11" s="69"/>
      <c r="B11" s="70"/>
      <c r="C11" s="70"/>
      <c r="D11" s="71"/>
      <c r="E11" s="70"/>
      <c r="F11" s="72"/>
    </row>
    <row r="12" spans="1:6" s="15" customFormat="1" ht="27.6" customHeight="1">
      <c r="A12" s="420" t="s">
        <v>20</v>
      </c>
      <c r="B12" s="422" t="s">
        <v>21</v>
      </c>
      <c r="C12" s="422"/>
      <c r="D12" s="422"/>
      <c r="E12" s="422"/>
      <c r="F12" s="14" t="s">
        <v>22</v>
      </c>
    </row>
    <row r="13" spans="1:6" s="15" customFormat="1" ht="19.8">
      <c r="A13" s="421"/>
      <c r="B13" s="423"/>
      <c r="C13" s="423"/>
      <c r="D13" s="423"/>
      <c r="E13" s="423"/>
      <c r="F13" s="73">
        <v>180</v>
      </c>
    </row>
    <row r="14" spans="1:6" s="19" customFormat="1" ht="40.5" customHeight="1">
      <c r="A14" s="414" t="s">
        <v>23</v>
      </c>
      <c r="B14" s="363" t="s">
        <v>24</v>
      </c>
      <c r="C14" s="363">
        <v>1</v>
      </c>
      <c r="D14" s="74" t="s">
        <v>109</v>
      </c>
      <c r="E14" s="426" t="s">
        <v>25</v>
      </c>
      <c r="F14" s="75">
        <v>20</v>
      </c>
    </row>
    <row r="15" spans="1:6" s="19" customFormat="1" ht="77.25" customHeight="1">
      <c r="A15" s="424"/>
      <c r="B15" s="364"/>
      <c r="C15" s="364"/>
      <c r="D15" s="76" t="s">
        <v>110</v>
      </c>
      <c r="E15" s="427"/>
      <c r="F15" s="77">
        <v>70</v>
      </c>
    </row>
    <row r="16" spans="1:6" s="19" customFormat="1" ht="22.5" customHeight="1">
      <c r="A16" s="424"/>
      <c r="B16" s="428" t="s">
        <v>24</v>
      </c>
      <c r="C16" s="430">
        <v>2</v>
      </c>
      <c r="D16" s="20" t="s">
        <v>26</v>
      </c>
      <c r="E16" s="408" t="s">
        <v>25</v>
      </c>
      <c r="F16" s="30">
        <v>25</v>
      </c>
    </row>
    <row r="17" spans="1:6" s="19" customFormat="1" ht="22.5" customHeight="1">
      <c r="A17" s="425"/>
      <c r="B17" s="429"/>
      <c r="C17" s="431"/>
      <c r="D17" s="80" t="s">
        <v>27</v>
      </c>
      <c r="E17" s="432"/>
      <c r="F17" s="81">
        <v>40</v>
      </c>
    </row>
    <row r="18" spans="1:6" s="19" customFormat="1" ht="28.9" customHeight="1">
      <c r="A18" s="414" t="s">
        <v>28</v>
      </c>
      <c r="B18" s="44" t="s">
        <v>24</v>
      </c>
      <c r="C18" s="25">
        <v>3</v>
      </c>
      <c r="D18" s="17" t="s">
        <v>29</v>
      </c>
      <c r="E18" s="26"/>
      <c r="F18" s="18">
        <v>5</v>
      </c>
    </row>
    <row r="19" spans="1:6" s="19" customFormat="1" ht="28.9" customHeight="1">
      <c r="A19" s="433"/>
      <c r="B19" s="47" t="s">
        <v>24</v>
      </c>
      <c r="C19" s="28">
        <v>4</v>
      </c>
      <c r="D19" s="22" t="s">
        <v>30</v>
      </c>
      <c r="E19" s="29"/>
      <c r="F19" s="23">
        <v>10</v>
      </c>
    </row>
    <row r="20" spans="1:6" s="19" customFormat="1" ht="22.9" customHeight="1">
      <c r="A20" s="414" t="s">
        <v>31</v>
      </c>
      <c r="B20" s="363" t="s">
        <v>24</v>
      </c>
      <c r="C20" s="366">
        <v>5</v>
      </c>
      <c r="D20" s="17" t="s">
        <v>111</v>
      </c>
      <c r="E20" s="407" t="s">
        <v>25</v>
      </c>
      <c r="F20" s="18">
        <v>5</v>
      </c>
    </row>
    <row r="21" spans="1:6" s="19" customFormat="1" ht="22.9" customHeight="1">
      <c r="A21" s="424"/>
      <c r="B21" s="364"/>
      <c r="C21" s="367"/>
      <c r="D21" s="20" t="s">
        <v>112</v>
      </c>
      <c r="E21" s="408"/>
      <c r="F21" s="30">
        <v>10</v>
      </c>
    </row>
    <row r="22" spans="1:6" s="19" customFormat="1" ht="22.9" customHeight="1">
      <c r="A22" s="415"/>
      <c r="B22" s="365"/>
      <c r="C22" s="368"/>
      <c r="D22" s="22" t="s">
        <v>113</v>
      </c>
      <c r="E22" s="409"/>
      <c r="F22" s="23">
        <v>15</v>
      </c>
    </row>
    <row r="23" spans="1:6" s="19" customFormat="1" ht="24.6" customHeight="1">
      <c r="A23" s="414" t="s">
        <v>114</v>
      </c>
      <c r="B23" s="363" t="s">
        <v>24</v>
      </c>
      <c r="C23" s="366">
        <v>6</v>
      </c>
      <c r="D23" s="17" t="s">
        <v>115</v>
      </c>
      <c r="E23" s="416" t="s">
        <v>25</v>
      </c>
      <c r="F23" s="18">
        <v>5</v>
      </c>
    </row>
    <row r="24" spans="1:6" s="19" customFormat="1" ht="37.9" customHeight="1">
      <c r="A24" s="415"/>
      <c r="B24" s="365"/>
      <c r="C24" s="368"/>
      <c r="D24" s="22" t="s">
        <v>116</v>
      </c>
      <c r="E24" s="417"/>
      <c r="F24" s="23">
        <v>10</v>
      </c>
    </row>
    <row r="25" spans="1:6" ht="27.6">
      <c r="A25" s="410" t="s">
        <v>43</v>
      </c>
      <c r="B25" s="412" t="s">
        <v>44</v>
      </c>
      <c r="C25" s="412"/>
      <c r="D25" s="412"/>
      <c r="E25" s="82"/>
      <c r="F25" s="83" t="s">
        <v>22</v>
      </c>
    </row>
    <row r="26" spans="1:6" ht="19.8">
      <c r="A26" s="411"/>
      <c r="B26" s="413"/>
      <c r="C26" s="413"/>
      <c r="D26" s="413"/>
      <c r="E26" s="43"/>
      <c r="F26" s="84">
        <f xml:space="preserve"> SUM(F27:F37,F40,F43,F46,F49,F53,F58,F62,F63:F66)</f>
        <v>450</v>
      </c>
    </row>
    <row r="27" spans="1:6" ht="19.75" customHeight="1">
      <c r="A27" s="369" t="s">
        <v>45</v>
      </c>
      <c r="B27" s="44" t="s">
        <v>24</v>
      </c>
      <c r="C27" s="25">
        <v>7</v>
      </c>
      <c r="D27" s="17" t="s">
        <v>117</v>
      </c>
      <c r="E27" s="44"/>
      <c r="F27" s="18">
        <v>5</v>
      </c>
    </row>
    <row r="28" spans="1:6" ht="30.6">
      <c r="A28" s="370"/>
      <c r="B28" s="45" t="s">
        <v>24</v>
      </c>
      <c r="C28" s="46">
        <v>8</v>
      </c>
      <c r="D28" s="20" t="s">
        <v>118</v>
      </c>
      <c r="E28" s="45"/>
      <c r="F28" s="30">
        <v>5</v>
      </c>
    </row>
    <row r="29" spans="1:6" ht="19.75" customHeight="1">
      <c r="A29" s="371"/>
      <c r="B29" s="47" t="s">
        <v>24</v>
      </c>
      <c r="C29" s="28">
        <v>9</v>
      </c>
      <c r="D29" s="22" t="s">
        <v>119</v>
      </c>
      <c r="E29" s="47"/>
      <c r="F29" s="23">
        <v>5</v>
      </c>
    </row>
    <row r="30" spans="1:6" ht="30.6">
      <c r="A30" s="369" t="s">
        <v>47</v>
      </c>
      <c r="B30" s="44" t="s">
        <v>24</v>
      </c>
      <c r="C30" s="25">
        <v>10</v>
      </c>
      <c r="D30" s="17" t="s">
        <v>48</v>
      </c>
      <c r="E30" s="44"/>
      <c r="F30" s="18">
        <v>5</v>
      </c>
    </row>
    <row r="31" spans="1:6" ht="61.2">
      <c r="A31" s="370"/>
      <c r="B31" s="45" t="s">
        <v>24</v>
      </c>
      <c r="C31" s="46">
        <v>11</v>
      </c>
      <c r="D31" s="20" t="s">
        <v>120</v>
      </c>
      <c r="E31" s="45"/>
      <c r="F31" s="30">
        <v>5</v>
      </c>
    </row>
    <row r="32" spans="1:6" ht="45.9">
      <c r="A32" s="371"/>
      <c r="B32" s="47" t="s">
        <v>24</v>
      </c>
      <c r="C32" s="28">
        <v>12</v>
      </c>
      <c r="D32" s="22" t="s">
        <v>121</v>
      </c>
      <c r="E32" s="47"/>
      <c r="F32" s="23">
        <v>5</v>
      </c>
    </row>
    <row r="33" spans="1:6" ht="45.9">
      <c r="A33" s="380" t="s">
        <v>122</v>
      </c>
      <c r="B33" s="44" t="s">
        <v>24</v>
      </c>
      <c r="C33" s="25">
        <v>13</v>
      </c>
      <c r="D33" s="85" t="s">
        <v>123</v>
      </c>
      <c r="E33" s="48"/>
      <c r="F33" s="18">
        <v>10</v>
      </c>
    </row>
    <row r="34" spans="1:6" ht="30.6">
      <c r="A34" s="381"/>
      <c r="B34" s="45" t="s">
        <v>24</v>
      </c>
      <c r="C34" s="46">
        <v>14</v>
      </c>
      <c r="D34" s="86" t="s">
        <v>124</v>
      </c>
      <c r="E34" s="49"/>
      <c r="F34" s="30">
        <v>10</v>
      </c>
    </row>
    <row r="35" spans="1:6" ht="45.9">
      <c r="A35" s="381"/>
      <c r="B35" s="45" t="s">
        <v>24</v>
      </c>
      <c r="C35" s="46">
        <v>15</v>
      </c>
      <c r="D35" s="86" t="s">
        <v>125</v>
      </c>
      <c r="E35" s="49"/>
      <c r="F35" s="30">
        <v>10</v>
      </c>
    </row>
    <row r="36" spans="1:6" ht="45.9">
      <c r="A36" s="381"/>
      <c r="B36" s="45" t="s">
        <v>24</v>
      </c>
      <c r="C36" s="46">
        <v>16</v>
      </c>
      <c r="D36" s="86" t="s">
        <v>126</v>
      </c>
      <c r="E36" s="49"/>
      <c r="F36" s="30">
        <v>10</v>
      </c>
    </row>
    <row r="37" spans="1:6" ht="45.9">
      <c r="A37" s="400"/>
      <c r="B37" s="47" t="s">
        <v>24</v>
      </c>
      <c r="C37" s="28">
        <v>17</v>
      </c>
      <c r="D37" s="87" t="s">
        <v>127</v>
      </c>
      <c r="E37" s="53"/>
      <c r="F37" s="23">
        <v>20</v>
      </c>
    </row>
    <row r="38" spans="1:6" ht="30.6">
      <c r="A38" s="369" t="s">
        <v>128</v>
      </c>
      <c r="B38" s="363" t="s">
        <v>24</v>
      </c>
      <c r="C38" s="366">
        <v>18</v>
      </c>
      <c r="D38" s="17" t="s">
        <v>129</v>
      </c>
      <c r="E38" s="372" t="s">
        <v>130</v>
      </c>
      <c r="F38" s="18">
        <v>40</v>
      </c>
    </row>
    <row r="39" spans="1:6" ht="61.2">
      <c r="A39" s="370"/>
      <c r="B39" s="364"/>
      <c r="C39" s="367"/>
      <c r="D39" s="20" t="s">
        <v>131</v>
      </c>
      <c r="E39" s="373"/>
      <c r="F39" s="30">
        <v>60</v>
      </c>
    </row>
    <row r="40" spans="1:6" ht="61.2">
      <c r="A40" s="371"/>
      <c r="B40" s="365"/>
      <c r="C40" s="368"/>
      <c r="D40" s="22" t="s">
        <v>132</v>
      </c>
      <c r="E40" s="374"/>
      <c r="F40" s="23">
        <v>80</v>
      </c>
    </row>
    <row r="41" spans="1:6" ht="30.6">
      <c r="A41" s="401" t="s">
        <v>133</v>
      </c>
      <c r="B41" s="364" t="s">
        <v>24</v>
      </c>
      <c r="C41" s="367">
        <v>19</v>
      </c>
      <c r="D41" s="67" t="s">
        <v>134</v>
      </c>
      <c r="E41" s="404" t="s">
        <v>130</v>
      </c>
      <c r="F41" s="21">
        <v>10</v>
      </c>
    </row>
    <row r="42" spans="1:6" ht="30.6">
      <c r="A42" s="402"/>
      <c r="B42" s="364" t="s">
        <v>24</v>
      </c>
      <c r="C42" s="367"/>
      <c r="D42" s="20" t="s">
        <v>135</v>
      </c>
      <c r="E42" s="405"/>
      <c r="F42" s="30">
        <v>20</v>
      </c>
    </row>
    <row r="43" spans="1:6" ht="45.9">
      <c r="A43" s="403"/>
      <c r="B43" s="365" t="s">
        <v>24</v>
      </c>
      <c r="C43" s="368"/>
      <c r="D43" s="88" t="s">
        <v>136</v>
      </c>
      <c r="E43" s="406"/>
      <c r="F43" s="81">
        <v>30</v>
      </c>
    </row>
    <row r="44" spans="1:6" ht="30.6">
      <c r="A44" s="369" t="s">
        <v>137</v>
      </c>
      <c r="B44" s="363" t="s">
        <v>24</v>
      </c>
      <c r="C44" s="366">
        <v>20</v>
      </c>
      <c r="D44" s="17" t="s">
        <v>138</v>
      </c>
      <c r="E44" s="372" t="s">
        <v>130</v>
      </c>
      <c r="F44" s="18">
        <v>10</v>
      </c>
    </row>
    <row r="45" spans="1:6" ht="30.6">
      <c r="A45" s="370"/>
      <c r="B45" s="364" t="s">
        <v>24</v>
      </c>
      <c r="C45" s="367">
        <v>32</v>
      </c>
      <c r="D45" s="20" t="s">
        <v>139</v>
      </c>
      <c r="E45" s="373"/>
      <c r="F45" s="30">
        <v>20</v>
      </c>
    </row>
    <row r="46" spans="1:6" ht="45.9">
      <c r="A46" s="371"/>
      <c r="B46" s="365" t="s">
        <v>24</v>
      </c>
      <c r="C46" s="368">
        <v>33</v>
      </c>
      <c r="D46" s="22" t="s">
        <v>140</v>
      </c>
      <c r="E46" s="374"/>
      <c r="F46" s="23">
        <v>30</v>
      </c>
    </row>
    <row r="47" spans="1:6" ht="30.6">
      <c r="A47" s="369" t="s">
        <v>141</v>
      </c>
      <c r="B47" s="363" t="s">
        <v>24</v>
      </c>
      <c r="C47" s="366">
        <v>21</v>
      </c>
      <c r="D47" s="17" t="s">
        <v>50</v>
      </c>
      <c r="E47" s="372" t="s">
        <v>130</v>
      </c>
      <c r="F47" s="18">
        <v>10</v>
      </c>
    </row>
    <row r="48" spans="1:6" ht="30.6">
      <c r="A48" s="370"/>
      <c r="B48" s="364" t="s">
        <v>24</v>
      </c>
      <c r="C48" s="367">
        <v>35</v>
      </c>
      <c r="D48" s="20" t="s">
        <v>52</v>
      </c>
      <c r="E48" s="373"/>
      <c r="F48" s="30">
        <v>20</v>
      </c>
    </row>
    <row r="49" spans="1:6" ht="30.6">
      <c r="A49" s="371"/>
      <c r="B49" s="365" t="s">
        <v>24</v>
      </c>
      <c r="C49" s="368">
        <v>36</v>
      </c>
      <c r="D49" s="22" t="s">
        <v>142</v>
      </c>
      <c r="E49" s="374"/>
      <c r="F49" s="23">
        <v>30</v>
      </c>
    </row>
    <row r="50" spans="1:6" ht="47.25" customHeight="1">
      <c r="A50" s="380" t="s">
        <v>143</v>
      </c>
      <c r="B50" s="363" t="s">
        <v>24</v>
      </c>
      <c r="C50" s="366">
        <v>22</v>
      </c>
      <c r="D50" s="17" t="s">
        <v>144</v>
      </c>
      <c r="E50" s="372" t="s">
        <v>130</v>
      </c>
      <c r="F50" s="18">
        <v>10</v>
      </c>
    </row>
    <row r="51" spans="1:6" ht="51" customHeight="1">
      <c r="A51" s="381"/>
      <c r="B51" s="364"/>
      <c r="C51" s="367"/>
      <c r="D51" s="20" t="s">
        <v>145</v>
      </c>
      <c r="E51" s="373"/>
      <c r="F51" s="30">
        <v>20</v>
      </c>
    </row>
    <row r="52" spans="1:6" ht="47.25" customHeight="1">
      <c r="A52" s="381"/>
      <c r="B52" s="364"/>
      <c r="C52" s="367"/>
      <c r="D52" s="20" t="s">
        <v>146</v>
      </c>
      <c r="E52" s="373"/>
      <c r="F52" s="30">
        <v>30</v>
      </c>
    </row>
    <row r="53" spans="1:6" ht="45.9">
      <c r="A53" s="400"/>
      <c r="B53" s="365"/>
      <c r="C53" s="368"/>
      <c r="D53" s="89" t="s">
        <v>147</v>
      </c>
      <c r="E53" s="374"/>
      <c r="F53" s="23">
        <v>50</v>
      </c>
    </row>
    <row r="54" spans="1:6" ht="45.9">
      <c r="A54" s="369" t="s">
        <v>148</v>
      </c>
      <c r="B54" s="363" t="s">
        <v>24</v>
      </c>
      <c r="C54" s="366">
        <v>23</v>
      </c>
      <c r="D54" s="17" t="s">
        <v>149</v>
      </c>
      <c r="E54" s="372" t="s">
        <v>130</v>
      </c>
      <c r="F54" s="18">
        <v>10</v>
      </c>
    </row>
    <row r="55" spans="1:6" ht="30.6">
      <c r="A55" s="370"/>
      <c r="B55" s="364"/>
      <c r="C55" s="367"/>
      <c r="D55" s="20" t="s">
        <v>150</v>
      </c>
      <c r="E55" s="373"/>
      <c r="F55" s="30">
        <v>20</v>
      </c>
    </row>
    <row r="56" spans="1:6" ht="45.9">
      <c r="A56" s="370"/>
      <c r="B56" s="364"/>
      <c r="C56" s="367"/>
      <c r="D56" s="20" t="s">
        <v>151</v>
      </c>
      <c r="E56" s="373"/>
      <c r="F56" s="30">
        <v>30</v>
      </c>
    </row>
    <row r="57" spans="1:6" ht="61.2">
      <c r="A57" s="370"/>
      <c r="B57" s="364"/>
      <c r="C57" s="367"/>
      <c r="D57" s="20" t="s">
        <v>152</v>
      </c>
      <c r="E57" s="373"/>
      <c r="F57" s="30">
        <v>40</v>
      </c>
    </row>
    <row r="58" spans="1:6" ht="76.5">
      <c r="A58" s="371"/>
      <c r="B58" s="365"/>
      <c r="C58" s="368"/>
      <c r="D58" s="89" t="s">
        <v>153</v>
      </c>
      <c r="E58" s="374"/>
      <c r="F58" s="23">
        <v>50</v>
      </c>
    </row>
    <row r="59" spans="1:6" ht="30.6">
      <c r="A59" s="369" t="s">
        <v>154</v>
      </c>
      <c r="B59" s="363" t="s">
        <v>24</v>
      </c>
      <c r="C59" s="366">
        <v>24</v>
      </c>
      <c r="D59" s="17" t="s">
        <v>155</v>
      </c>
      <c r="E59" s="372" t="s">
        <v>130</v>
      </c>
      <c r="F59" s="18">
        <v>10</v>
      </c>
    </row>
    <row r="60" spans="1:6" ht="45.9">
      <c r="A60" s="370"/>
      <c r="B60" s="364"/>
      <c r="C60" s="367"/>
      <c r="D60" s="20" t="s">
        <v>156</v>
      </c>
      <c r="E60" s="373"/>
      <c r="F60" s="30">
        <v>20</v>
      </c>
    </row>
    <row r="61" spans="1:6" ht="30.6">
      <c r="A61" s="370"/>
      <c r="B61" s="364"/>
      <c r="C61" s="367"/>
      <c r="D61" s="20" t="s">
        <v>157</v>
      </c>
      <c r="E61" s="373"/>
      <c r="F61" s="30">
        <v>30</v>
      </c>
    </row>
    <row r="62" spans="1:6" ht="45.9">
      <c r="A62" s="371"/>
      <c r="B62" s="365"/>
      <c r="C62" s="368"/>
      <c r="D62" s="22" t="s">
        <v>158</v>
      </c>
      <c r="E62" s="374"/>
      <c r="F62" s="23">
        <v>50</v>
      </c>
    </row>
    <row r="63" spans="1:6" ht="47.25" customHeight="1">
      <c r="A63" s="380" t="s">
        <v>159</v>
      </c>
      <c r="B63" s="44" t="s">
        <v>24</v>
      </c>
      <c r="C63" s="25">
        <v>25</v>
      </c>
      <c r="D63" s="25" t="s">
        <v>160</v>
      </c>
      <c r="E63" s="44"/>
      <c r="F63" s="18">
        <v>10</v>
      </c>
    </row>
    <row r="64" spans="1:6" ht="61.2">
      <c r="A64" s="381"/>
      <c r="B64" s="45" t="s">
        <v>24</v>
      </c>
      <c r="C64" s="46">
        <v>26</v>
      </c>
      <c r="D64" s="46" t="s">
        <v>161</v>
      </c>
      <c r="E64" s="45"/>
      <c r="F64" s="30">
        <v>10</v>
      </c>
    </row>
    <row r="65" spans="1:6" ht="30.6">
      <c r="A65" s="381"/>
      <c r="B65" s="45" t="s">
        <v>24</v>
      </c>
      <c r="C65" s="46">
        <v>27</v>
      </c>
      <c r="D65" s="46" t="s">
        <v>162</v>
      </c>
      <c r="E65" s="45"/>
      <c r="F65" s="30">
        <v>10</v>
      </c>
    </row>
    <row r="66" spans="1:6" ht="76.5">
      <c r="A66" s="382"/>
      <c r="B66" s="78" t="s">
        <v>24</v>
      </c>
      <c r="C66" s="79">
        <v>28</v>
      </c>
      <c r="D66" s="79" t="s">
        <v>163</v>
      </c>
      <c r="E66" s="78"/>
      <c r="F66" s="23">
        <v>10</v>
      </c>
    </row>
    <row r="67" spans="1:6" ht="67.5" customHeight="1">
      <c r="A67" s="383" t="s">
        <v>53</v>
      </c>
      <c r="B67" s="385" t="s">
        <v>164</v>
      </c>
      <c r="C67" s="386"/>
      <c r="D67" s="386"/>
      <c r="E67" s="55"/>
      <c r="F67" s="56" t="s">
        <v>55</v>
      </c>
    </row>
    <row r="68" spans="1:6" ht="22.8">
      <c r="A68" s="384"/>
      <c r="B68" s="387"/>
      <c r="C68" s="387"/>
      <c r="D68" s="387"/>
      <c r="E68" s="57"/>
      <c r="F68" s="90">
        <f>SUM(F69:F82)</f>
        <v>145</v>
      </c>
    </row>
    <row r="69" spans="1:6" ht="45.9">
      <c r="A69" s="388" t="s">
        <v>165</v>
      </c>
      <c r="B69" s="91" t="s">
        <v>24</v>
      </c>
      <c r="C69" s="92">
        <v>29</v>
      </c>
      <c r="D69" s="67" t="s">
        <v>166</v>
      </c>
      <c r="E69" s="91"/>
      <c r="F69" s="18">
        <v>10</v>
      </c>
    </row>
    <row r="70" spans="1:6" ht="45.9">
      <c r="A70" s="389"/>
      <c r="B70" s="45" t="s">
        <v>24</v>
      </c>
      <c r="C70" s="46">
        <v>30</v>
      </c>
      <c r="D70" s="20" t="s">
        <v>57</v>
      </c>
      <c r="E70" s="45"/>
      <c r="F70" s="30">
        <v>10</v>
      </c>
    </row>
    <row r="71" spans="1:6" ht="30.6">
      <c r="A71" s="389"/>
      <c r="B71" s="45" t="s">
        <v>24</v>
      </c>
      <c r="C71" s="46">
        <v>31</v>
      </c>
      <c r="D71" s="20" t="s">
        <v>58</v>
      </c>
      <c r="E71" s="45"/>
      <c r="F71" s="30">
        <v>10</v>
      </c>
    </row>
    <row r="72" spans="1:6" ht="61.2">
      <c r="A72" s="389"/>
      <c r="B72" s="45" t="s">
        <v>24</v>
      </c>
      <c r="C72" s="46">
        <v>32</v>
      </c>
      <c r="D72" s="20" t="s">
        <v>167</v>
      </c>
      <c r="E72" s="45"/>
      <c r="F72" s="30">
        <v>10</v>
      </c>
    </row>
    <row r="73" spans="1:6" ht="45.9">
      <c r="A73" s="389"/>
      <c r="B73" s="45" t="s">
        <v>24</v>
      </c>
      <c r="C73" s="46">
        <v>33</v>
      </c>
      <c r="D73" s="20" t="s">
        <v>60</v>
      </c>
      <c r="E73" s="45"/>
      <c r="F73" s="30">
        <v>5</v>
      </c>
    </row>
    <row r="74" spans="1:6" ht="30.6">
      <c r="A74" s="390"/>
      <c r="B74" s="47" t="s">
        <v>24</v>
      </c>
      <c r="C74" s="28">
        <v>34</v>
      </c>
      <c r="D74" s="22" t="s">
        <v>61</v>
      </c>
      <c r="E74" s="47"/>
      <c r="F74" s="23">
        <v>5</v>
      </c>
    </row>
    <row r="75" spans="1:6" ht="30.6">
      <c r="A75" s="391" t="s">
        <v>168</v>
      </c>
      <c r="B75" s="44" t="s">
        <v>24</v>
      </c>
      <c r="C75" s="25">
        <v>35</v>
      </c>
      <c r="D75" s="17" t="s">
        <v>62</v>
      </c>
      <c r="E75" s="44"/>
      <c r="F75" s="18">
        <v>10</v>
      </c>
    </row>
    <row r="76" spans="1:6" ht="30.6">
      <c r="A76" s="389"/>
      <c r="B76" s="45" t="s">
        <v>24</v>
      </c>
      <c r="C76" s="46">
        <v>36</v>
      </c>
      <c r="D76" s="20" t="s">
        <v>63</v>
      </c>
      <c r="E76" s="45"/>
      <c r="F76" s="30">
        <v>10</v>
      </c>
    </row>
    <row r="77" spans="1:6" ht="30.6">
      <c r="A77" s="389"/>
      <c r="B77" s="45" t="s">
        <v>24</v>
      </c>
      <c r="C77" s="46">
        <v>37</v>
      </c>
      <c r="D77" s="20" t="s">
        <v>64</v>
      </c>
      <c r="E77" s="45"/>
      <c r="F77" s="30">
        <v>10</v>
      </c>
    </row>
    <row r="78" spans="1:6" ht="45.9">
      <c r="A78" s="389"/>
      <c r="B78" s="45" t="s">
        <v>24</v>
      </c>
      <c r="C78" s="46">
        <v>38</v>
      </c>
      <c r="D78" s="20" t="s">
        <v>169</v>
      </c>
      <c r="E78" s="45"/>
      <c r="F78" s="30">
        <v>15</v>
      </c>
    </row>
    <row r="79" spans="1:6" ht="30.6">
      <c r="A79" s="390"/>
      <c r="B79" s="47" t="s">
        <v>24</v>
      </c>
      <c r="C79" s="28">
        <v>39</v>
      </c>
      <c r="D79" s="22" t="s">
        <v>170</v>
      </c>
      <c r="E79" s="47"/>
      <c r="F79" s="23">
        <v>20</v>
      </c>
    </row>
    <row r="80" spans="1:6" ht="39.6" customHeight="1">
      <c r="A80" s="391" t="s">
        <v>171</v>
      </c>
      <c r="B80" s="44" t="s">
        <v>24</v>
      </c>
      <c r="C80" s="25">
        <v>40</v>
      </c>
      <c r="D80" s="17" t="s">
        <v>67</v>
      </c>
      <c r="E80" s="44"/>
      <c r="F80" s="18">
        <v>10</v>
      </c>
    </row>
    <row r="81" spans="1:6" ht="39.6" customHeight="1">
      <c r="A81" s="389"/>
      <c r="B81" s="45" t="s">
        <v>24</v>
      </c>
      <c r="C81" s="46">
        <v>41</v>
      </c>
      <c r="D81" s="20" t="s">
        <v>172</v>
      </c>
      <c r="E81" s="45"/>
      <c r="F81" s="30">
        <v>10</v>
      </c>
    </row>
    <row r="82" spans="1:6" ht="39.6" customHeight="1">
      <c r="A82" s="390"/>
      <c r="B82" s="47" t="s">
        <v>24</v>
      </c>
      <c r="C82" s="28">
        <v>42</v>
      </c>
      <c r="D82" s="22" t="s">
        <v>69</v>
      </c>
      <c r="E82" s="47"/>
      <c r="F82" s="23">
        <v>10</v>
      </c>
    </row>
    <row r="83" spans="1:6" ht="27.6">
      <c r="A83" s="392" t="s">
        <v>70</v>
      </c>
      <c r="B83" s="394" t="s">
        <v>71</v>
      </c>
      <c r="C83" s="394"/>
      <c r="D83" s="394"/>
      <c r="E83" s="59"/>
      <c r="F83" s="60" t="s">
        <v>55</v>
      </c>
    </row>
    <row r="84" spans="1:6" ht="22.8">
      <c r="A84" s="393"/>
      <c r="B84" s="395"/>
      <c r="C84" s="395"/>
      <c r="D84" s="395"/>
      <c r="E84" s="61"/>
      <c r="F84" s="93">
        <f>SUM(F85:F97)</f>
        <v>100</v>
      </c>
    </row>
    <row r="85" spans="1:6" ht="30.6">
      <c r="A85" s="348" t="s">
        <v>173</v>
      </c>
      <c r="B85" s="44" t="s">
        <v>24</v>
      </c>
      <c r="C85" s="25">
        <v>43</v>
      </c>
      <c r="D85" s="17" t="s">
        <v>174</v>
      </c>
      <c r="E85" s="44"/>
      <c r="F85" s="18">
        <v>5</v>
      </c>
    </row>
    <row r="86" spans="1:6" ht="31.35" customHeight="1">
      <c r="A86" s="396"/>
      <c r="B86" s="45" t="s">
        <v>24</v>
      </c>
      <c r="C86" s="46">
        <v>44</v>
      </c>
      <c r="D86" s="20" t="s">
        <v>175</v>
      </c>
      <c r="E86" s="45"/>
      <c r="F86" s="30">
        <v>5</v>
      </c>
    </row>
    <row r="87" spans="1:6" ht="31.35" customHeight="1">
      <c r="A87" s="396"/>
      <c r="B87" s="45" t="s">
        <v>24</v>
      </c>
      <c r="C87" s="46">
        <v>45</v>
      </c>
      <c r="D87" s="20" t="s">
        <v>176</v>
      </c>
      <c r="E87" s="45"/>
      <c r="F87" s="30">
        <v>10</v>
      </c>
    </row>
    <row r="88" spans="1:6" ht="30.6">
      <c r="A88" s="397"/>
      <c r="B88" s="47" t="s">
        <v>24</v>
      </c>
      <c r="C88" s="28">
        <v>46</v>
      </c>
      <c r="D88" s="22" t="s">
        <v>73</v>
      </c>
      <c r="E88" s="47"/>
      <c r="F88" s="23">
        <v>10</v>
      </c>
    </row>
    <row r="89" spans="1:6" ht="30.6">
      <c r="A89" s="398" t="s">
        <v>177</v>
      </c>
      <c r="B89" s="91" t="s">
        <v>24</v>
      </c>
      <c r="C89" s="92">
        <v>47</v>
      </c>
      <c r="D89" s="67" t="s">
        <v>74</v>
      </c>
      <c r="E89" s="91"/>
      <c r="F89" s="18">
        <v>10</v>
      </c>
    </row>
    <row r="90" spans="1:6" ht="31.35" customHeight="1">
      <c r="A90" s="396"/>
      <c r="B90" s="45" t="s">
        <v>24</v>
      </c>
      <c r="C90" s="46">
        <v>48</v>
      </c>
      <c r="D90" s="20" t="s">
        <v>75</v>
      </c>
      <c r="E90" s="45"/>
      <c r="F90" s="30">
        <v>10</v>
      </c>
    </row>
    <row r="91" spans="1:6" ht="31.35" customHeight="1">
      <c r="A91" s="396"/>
      <c r="B91" s="45" t="s">
        <v>24</v>
      </c>
      <c r="C91" s="46">
        <v>49</v>
      </c>
      <c r="D91" s="20" t="s">
        <v>76</v>
      </c>
      <c r="E91" s="45"/>
      <c r="F91" s="30">
        <v>10</v>
      </c>
    </row>
    <row r="92" spans="1:6" ht="31.35" customHeight="1">
      <c r="A92" s="399"/>
      <c r="B92" s="78" t="s">
        <v>24</v>
      </c>
      <c r="C92" s="79">
        <v>50</v>
      </c>
      <c r="D92" s="88" t="s">
        <v>77</v>
      </c>
      <c r="E92" s="78"/>
      <c r="F92" s="23">
        <v>10</v>
      </c>
    </row>
    <row r="93" spans="1:6" ht="31.5" customHeight="1">
      <c r="A93" s="348" t="s">
        <v>178</v>
      </c>
      <c r="B93" s="44" t="s">
        <v>24</v>
      </c>
      <c r="C93" s="25">
        <v>51</v>
      </c>
      <c r="D93" s="17" t="s">
        <v>179</v>
      </c>
      <c r="E93" s="44"/>
      <c r="F93" s="18">
        <v>5</v>
      </c>
    </row>
    <row r="94" spans="1:6" ht="31.35" customHeight="1">
      <c r="A94" s="349"/>
      <c r="B94" s="45" t="s">
        <v>24</v>
      </c>
      <c r="C94" s="46">
        <v>52</v>
      </c>
      <c r="D94" s="20" t="s">
        <v>78</v>
      </c>
      <c r="E94" s="45"/>
      <c r="F94" s="30">
        <v>5</v>
      </c>
    </row>
    <row r="95" spans="1:6" ht="45.9">
      <c r="A95" s="349"/>
      <c r="B95" s="45" t="s">
        <v>24</v>
      </c>
      <c r="C95" s="46">
        <v>53</v>
      </c>
      <c r="D95" s="20" t="s">
        <v>79</v>
      </c>
      <c r="E95" s="45"/>
      <c r="F95" s="30">
        <v>10</v>
      </c>
    </row>
    <row r="96" spans="1:6" ht="30.6">
      <c r="A96" s="349"/>
      <c r="B96" s="45" t="s">
        <v>24</v>
      </c>
      <c r="C96" s="46">
        <v>54</v>
      </c>
      <c r="D96" s="20" t="s">
        <v>80</v>
      </c>
      <c r="E96" s="45"/>
      <c r="F96" s="30">
        <v>5</v>
      </c>
    </row>
    <row r="97" spans="1:6" ht="30.6">
      <c r="A97" s="350"/>
      <c r="B97" s="78" t="s">
        <v>24</v>
      </c>
      <c r="C97" s="79">
        <v>55</v>
      </c>
      <c r="D97" s="88" t="s">
        <v>81</v>
      </c>
      <c r="E97" s="78"/>
      <c r="F97" s="23">
        <v>5</v>
      </c>
    </row>
    <row r="98" spans="1:6" ht="27.6">
      <c r="A98" s="375" t="s">
        <v>82</v>
      </c>
      <c r="B98" s="377" t="s">
        <v>180</v>
      </c>
      <c r="C98" s="378"/>
      <c r="D98" s="378"/>
      <c r="E98" s="64"/>
      <c r="F98" s="65" t="s">
        <v>55</v>
      </c>
    </row>
    <row r="99" spans="1:6" ht="22.8">
      <c r="A99" s="376"/>
      <c r="B99" s="379"/>
      <c r="C99" s="379"/>
      <c r="D99" s="379"/>
      <c r="E99" s="66"/>
      <c r="F99" s="94">
        <f>SUM(F100:F109,F116)</f>
        <v>150</v>
      </c>
    </row>
    <row r="100" spans="1:6" ht="30.6">
      <c r="A100" s="354" t="s">
        <v>181</v>
      </c>
      <c r="B100" s="44" t="s">
        <v>24</v>
      </c>
      <c r="C100" s="25">
        <v>56</v>
      </c>
      <c r="D100" s="17" t="s">
        <v>84</v>
      </c>
      <c r="E100" s="44"/>
      <c r="F100" s="18">
        <v>10</v>
      </c>
    </row>
    <row r="101" spans="1:6" ht="51" customHeight="1">
      <c r="A101" s="355"/>
      <c r="B101" s="45" t="s">
        <v>24</v>
      </c>
      <c r="C101" s="46">
        <v>57</v>
      </c>
      <c r="D101" s="20" t="s">
        <v>85</v>
      </c>
      <c r="E101" s="45"/>
      <c r="F101" s="30">
        <v>10</v>
      </c>
    </row>
    <row r="102" spans="1:6" ht="51" customHeight="1">
      <c r="A102" s="355"/>
      <c r="B102" s="45" t="s">
        <v>24</v>
      </c>
      <c r="C102" s="46">
        <v>58</v>
      </c>
      <c r="D102" s="20" t="s">
        <v>86</v>
      </c>
      <c r="E102" s="45"/>
      <c r="F102" s="30">
        <v>10</v>
      </c>
    </row>
    <row r="103" spans="1:6" ht="34" customHeight="1">
      <c r="A103" s="356"/>
      <c r="B103" s="47" t="s">
        <v>24</v>
      </c>
      <c r="C103" s="28">
        <v>59</v>
      </c>
      <c r="D103" s="22" t="s">
        <v>87</v>
      </c>
      <c r="E103" s="47"/>
      <c r="F103" s="23">
        <v>10</v>
      </c>
    </row>
    <row r="104" spans="1:6" ht="34" customHeight="1">
      <c r="A104" s="357" t="s">
        <v>182</v>
      </c>
      <c r="B104" s="44" t="s">
        <v>24</v>
      </c>
      <c r="C104" s="25">
        <v>60</v>
      </c>
      <c r="D104" s="17" t="s">
        <v>183</v>
      </c>
      <c r="E104" s="44"/>
      <c r="F104" s="18">
        <v>10</v>
      </c>
    </row>
    <row r="105" spans="1:6" ht="25.5" customHeight="1">
      <c r="A105" s="358"/>
      <c r="B105" s="45" t="s">
        <v>24</v>
      </c>
      <c r="C105" s="46">
        <v>61</v>
      </c>
      <c r="D105" s="20" t="s">
        <v>88</v>
      </c>
      <c r="E105" s="45"/>
      <c r="F105" s="30">
        <v>10</v>
      </c>
    </row>
    <row r="106" spans="1:6" ht="45.9">
      <c r="A106" s="359"/>
      <c r="B106" s="47" t="s">
        <v>24</v>
      </c>
      <c r="C106" s="28">
        <v>62</v>
      </c>
      <c r="D106" s="22" t="s">
        <v>89</v>
      </c>
      <c r="E106" s="47"/>
      <c r="F106" s="23">
        <v>10</v>
      </c>
    </row>
    <row r="107" spans="1:6" ht="25.5" customHeight="1">
      <c r="A107" s="357" t="s">
        <v>184</v>
      </c>
      <c r="B107" s="44" t="s">
        <v>24</v>
      </c>
      <c r="C107" s="25">
        <v>63</v>
      </c>
      <c r="D107" s="17" t="s">
        <v>90</v>
      </c>
      <c r="E107" s="44"/>
      <c r="F107" s="18">
        <v>10</v>
      </c>
    </row>
    <row r="108" spans="1:6" ht="30.6">
      <c r="A108" s="358"/>
      <c r="B108" s="45" t="s">
        <v>24</v>
      </c>
      <c r="C108" s="46">
        <v>64</v>
      </c>
      <c r="D108" s="20" t="s">
        <v>185</v>
      </c>
      <c r="E108" s="45"/>
      <c r="F108" s="30">
        <v>10</v>
      </c>
    </row>
    <row r="109" spans="1:6" ht="45.9">
      <c r="A109" s="359"/>
      <c r="B109" s="47" t="s">
        <v>24</v>
      </c>
      <c r="C109" s="28">
        <v>65</v>
      </c>
      <c r="D109" s="22" t="s">
        <v>186</v>
      </c>
      <c r="E109" s="47"/>
      <c r="F109" s="23">
        <v>10</v>
      </c>
    </row>
    <row r="110" spans="1:6" ht="22.5" customHeight="1">
      <c r="A110" s="360" t="s">
        <v>187</v>
      </c>
      <c r="B110" s="363" t="s">
        <v>24</v>
      </c>
      <c r="C110" s="366">
        <v>66</v>
      </c>
      <c r="D110" s="67" t="s">
        <v>92</v>
      </c>
      <c r="E110" s="351" t="s">
        <v>188</v>
      </c>
      <c r="F110" s="95">
        <v>25</v>
      </c>
    </row>
    <row r="111" spans="1:6" ht="22.5" customHeight="1">
      <c r="A111" s="361"/>
      <c r="B111" s="364"/>
      <c r="C111" s="367"/>
      <c r="D111" s="20" t="s">
        <v>94</v>
      </c>
      <c r="E111" s="352"/>
      <c r="F111" s="96">
        <v>10</v>
      </c>
    </row>
    <row r="112" spans="1:6" ht="22.5" customHeight="1">
      <c r="A112" s="361"/>
      <c r="B112" s="364"/>
      <c r="C112" s="367"/>
      <c r="D112" s="20" t="s">
        <v>92</v>
      </c>
      <c r="E112" s="352" t="s">
        <v>189</v>
      </c>
      <c r="F112" s="30">
        <v>35</v>
      </c>
    </row>
    <row r="113" spans="1:6" ht="22.5" customHeight="1">
      <c r="A113" s="361"/>
      <c r="B113" s="364"/>
      <c r="C113" s="367"/>
      <c r="D113" s="20" t="s">
        <v>96</v>
      </c>
      <c r="E113" s="352"/>
      <c r="F113" s="30">
        <v>15</v>
      </c>
    </row>
    <row r="114" spans="1:6" ht="22.5" customHeight="1">
      <c r="A114" s="361"/>
      <c r="B114" s="364"/>
      <c r="C114" s="367"/>
      <c r="D114" s="20" t="s">
        <v>92</v>
      </c>
      <c r="E114" s="352" t="s">
        <v>97</v>
      </c>
      <c r="F114" s="30">
        <v>45</v>
      </c>
    </row>
    <row r="115" spans="1:6" ht="22.5" customHeight="1">
      <c r="A115" s="361"/>
      <c r="B115" s="364"/>
      <c r="C115" s="367"/>
      <c r="D115" s="20" t="s">
        <v>96</v>
      </c>
      <c r="E115" s="352"/>
      <c r="F115" s="30">
        <v>20</v>
      </c>
    </row>
    <row r="116" spans="1:6" ht="22.5" customHeight="1">
      <c r="A116" s="361"/>
      <c r="B116" s="364"/>
      <c r="C116" s="367"/>
      <c r="D116" s="20" t="s">
        <v>92</v>
      </c>
      <c r="E116" s="352" t="s">
        <v>98</v>
      </c>
      <c r="F116" s="68">
        <v>50</v>
      </c>
    </row>
    <row r="117" spans="1:6" ht="22.5" customHeight="1">
      <c r="A117" s="362"/>
      <c r="B117" s="365"/>
      <c r="C117" s="368"/>
      <c r="D117" s="22" t="s">
        <v>96</v>
      </c>
      <c r="E117" s="353"/>
      <c r="F117" s="23">
        <v>25</v>
      </c>
    </row>
  </sheetData>
  <mergeCells count="75">
    <mergeCell ref="A23:A24"/>
    <mergeCell ref="B23:B24"/>
    <mergeCell ref="C23:C24"/>
    <mergeCell ref="E23:E24"/>
    <mergeCell ref="A4:F4"/>
    <mergeCell ref="A12:A13"/>
    <mergeCell ref="B12:E13"/>
    <mergeCell ref="A14:A17"/>
    <mergeCell ref="B14:B15"/>
    <mergeCell ref="C14:C15"/>
    <mergeCell ref="E14:E15"/>
    <mergeCell ref="B16:B17"/>
    <mergeCell ref="C16:C17"/>
    <mergeCell ref="E16:E17"/>
    <mergeCell ref="A18:A19"/>
    <mergeCell ref="A20:A22"/>
    <mergeCell ref="B20:B22"/>
    <mergeCell ref="C20:C22"/>
    <mergeCell ref="E20:E22"/>
    <mergeCell ref="A44:A46"/>
    <mergeCell ref="B44:B46"/>
    <mergeCell ref="C44:C46"/>
    <mergeCell ref="E44:E46"/>
    <mergeCell ref="A25:A26"/>
    <mergeCell ref="B25:D26"/>
    <mergeCell ref="A27:A29"/>
    <mergeCell ref="A30:A32"/>
    <mergeCell ref="A33:A37"/>
    <mergeCell ref="A38:A40"/>
    <mergeCell ref="B38:B40"/>
    <mergeCell ref="C38:C40"/>
    <mergeCell ref="E38:E40"/>
    <mergeCell ref="A41:A43"/>
    <mergeCell ref="B41:B43"/>
    <mergeCell ref="C41:C43"/>
    <mergeCell ref="E41:E43"/>
    <mergeCell ref="A47:A49"/>
    <mergeCell ref="B47:B49"/>
    <mergeCell ref="C47:C49"/>
    <mergeCell ref="E47:E49"/>
    <mergeCell ref="A50:A53"/>
    <mergeCell ref="B50:B53"/>
    <mergeCell ref="C50:C53"/>
    <mergeCell ref="E50:E53"/>
    <mergeCell ref="A54:A58"/>
    <mergeCell ref="B54:B58"/>
    <mergeCell ref="C54:C58"/>
    <mergeCell ref="E54:E58"/>
    <mergeCell ref="A59:A62"/>
    <mergeCell ref="B59:B62"/>
    <mergeCell ref="C59:C62"/>
    <mergeCell ref="E59:E62"/>
    <mergeCell ref="A98:A99"/>
    <mergeCell ref="B98:D99"/>
    <mergeCell ref="A63:A66"/>
    <mergeCell ref="A67:A68"/>
    <mergeCell ref="B67:D68"/>
    <mergeCell ref="A69:A74"/>
    <mergeCell ref="A75:A79"/>
    <mergeCell ref="A80:A82"/>
    <mergeCell ref="A83:A84"/>
    <mergeCell ref="B83:D84"/>
    <mergeCell ref="A85:A88"/>
    <mergeCell ref="A89:A92"/>
    <mergeCell ref="A93:A97"/>
    <mergeCell ref="E110:E111"/>
    <mergeCell ref="E112:E113"/>
    <mergeCell ref="E114:E115"/>
    <mergeCell ref="E116:E117"/>
    <mergeCell ref="A100:A103"/>
    <mergeCell ref="A104:A106"/>
    <mergeCell ref="A107:A109"/>
    <mergeCell ref="A110:A117"/>
    <mergeCell ref="B110:B117"/>
    <mergeCell ref="C110:C1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A1:K14"/>
  <sheetViews>
    <sheetView topLeftCell="A10" workbookViewId="0">
      <selection activeCell="E7" sqref="E7"/>
    </sheetView>
  </sheetViews>
  <sheetFormatPr defaultColWidth="8.83984375" defaultRowHeight="15.3"/>
  <cols>
    <col min="1" max="1" width="10.26171875" style="3" customWidth="1"/>
    <col min="2" max="2" width="15.26171875" style="3" customWidth="1"/>
    <col min="3" max="3" width="14.41796875" style="2" customWidth="1"/>
    <col min="4" max="4" width="15.26171875" style="97" customWidth="1"/>
    <col min="5" max="5" width="14.41796875" style="52" customWidth="1"/>
    <col min="6" max="6" width="18.578125" style="52" customWidth="1"/>
    <col min="7" max="7" width="18" style="52" customWidth="1"/>
    <col min="8" max="9" width="18.41796875" style="52" customWidth="1"/>
    <col min="10" max="11" width="12.578125" style="52" customWidth="1"/>
    <col min="12" max="241" width="8.83984375" style="5"/>
    <col min="242" max="242" width="11.68359375" style="5" customWidth="1"/>
    <col min="243" max="243" width="8.578125" style="5" customWidth="1"/>
    <col min="244" max="244" width="4.68359375" style="5" customWidth="1"/>
    <col min="245" max="245" width="55.41796875" style="5" customWidth="1"/>
    <col min="246" max="246" width="9.26171875" style="5" customWidth="1"/>
    <col min="247" max="247" width="9.68359375" style="5" customWidth="1"/>
    <col min="248" max="16384" width="8.83984375" style="5"/>
  </cols>
  <sheetData>
    <row r="1" spans="1:9">
      <c r="A1" s="5" t="s">
        <v>106</v>
      </c>
      <c r="B1" s="5"/>
      <c r="D1" s="2"/>
      <c r="E1" s="3"/>
    </row>
    <row r="2" spans="1:9">
      <c r="A2" s="1" t="s">
        <v>107</v>
      </c>
      <c r="B2" s="1"/>
      <c r="D2" s="2"/>
      <c r="E2" s="3"/>
    </row>
    <row r="4" spans="1:9" ht="30">
      <c r="A4" s="439" t="s">
        <v>190</v>
      </c>
      <c r="B4" s="439"/>
      <c r="C4" s="439"/>
      <c r="D4" s="439"/>
      <c r="E4" s="439"/>
      <c r="F4" s="439"/>
      <c r="G4" s="439"/>
      <c r="H4" s="439"/>
      <c r="I4" s="439"/>
    </row>
    <row r="6" spans="1:9" ht="38.25" customHeight="1">
      <c r="A6" s="440" t="s">
        <v>191</v>
      </c>
      <c r="B6" s="441"/>
      <c r="C6" s="98" t="s">
        <v>192</v>
      </c>
      <c r="D6" s="99" t="s">
        <v>193</v>
      </c>
      <c r="E6" s="100" t="s">
        <v>6</v>
      </c>
      <c r="F6" s="101" t="s">
        <v>194</v>
      </c>
      <c r="G6" s="102" t="s">
        <v>12</v>
      </c>
      <c r="H6" s="103" t="s">
        <v>15</v>
      </c>
      <c r="I6" s="99" t="s">
        <v>18</v>
      </c>
    </row>
    <row r="7" spans="1:9" ht="61.5" customHeight="1">
      <c r="A7" s="442"/>
      <c r="B7" s="443"/>
      <c r="C7" s="104" t="s">
        <v>1</v>
      </c>
      <c r="D7" s="105" t="s">
        <v>4</v>
      </c>
      <c r="E7" s="105" t="s">
        <v>7</v>
      </c>
      <c r="F7" s="105" t="s">
        <v>10</v>
      </c>
      <c r="G7" s="105" t="s">
        <v>195</v>
      </c>
      <c r="H7" s="105" t="s">
        <v>196</v>
      </c>
      <c r="I7" s="105" t="s">
        <v>197</v>
      </c>
    </row>
    <row r="8" spans="1:9" ht="34.5" customHeight="1">
      <c r="A8" s="444" t="s">
        <v>198</v>
      </c>
      <c r="B8" s="445"/>
      <c r="C8" s="106">
        <v>200</v>
      </c>
      <c r="D8" s="106">
        <v>300</v>
      </c>
      <c r="E8" s="106">
        <v>400</v>
      </c>
      <c r="F8" s="106">
        <v>600</v>
      </c>
      <c r="G8" s="106">
        <v>800</v>
      </c>
      <c r="H8" s="106">
        <v>900</v>
      </c>
      <c r="I8" s="106">
        <v>1000</v>
      </c>
    </row>
    <row r="9" spans="1:9" ht="70.5" customHeight="1">
      <c r="A9" s="446" t="s">
        <v>199</v>
      </c>
      <c r="B9" s="447"/>
      <c r="C9" s="107" t="s">
        <v>200</v>
      </c>
      <c r="D9" s="107" t="s">
        <v>200</v>
      </c>
      <c r="E9" s="107" t="s">
        <v>200</v>
      </c>
      <c r="F9" s="108" t="s">
        <v>201</v>
      </c>
      <c r="G9" s="108" t="s">
        <v>202</v>
      </c>
      <c r="H9" s="108" t="s">
        <v>202</v>
      </c>
      <c r="I9" s="108" t="s">
        <v>202</v>
      </c>
    </row>
    <row r="10" spans="1:9" ht="30.6">
      <c r="A10" s="448" t="s">
        <v>203</v>
      </c>
      <c r="B10" s="109" t="s">
        <v>204</v>
      </c>
      <c r="C10" s="110" t="s">
        <v>205</v>
      </c>
      <c r="D10" s="111" t="s">
        <v>206</v>
      </c>
      <c r="E10" s="112" t="s">
        <v>207</v>
      </c>
      <c r="F10" s="112" t="s">
        <v>208</v>
      </c>
      <c r="G10" s="112" t="s">
        <v>208</v>
      </c>
      <c r="H10" s="112" t="s">
        <v>209</v>
      </c>
      <c r="I10" s="112" t="s">
        <v>209</v>
      </c>
    </row>
    <row r="11" spans="1:9" ht="27.6">
      <c r="A11" s="449"/>
      <c r="B11" s="113" t="s">
        <v>210</v>
      </c>
      <c r="C11" s="450" t="s">
        <v>211</v>
      </c>
      <c r="D11" s="451"/>
      <c r="E11" s="451"/>
      <c r="F11" s="451"/>
      <c r="G11" s="452"/>
      <c r="H11" s="112" t="s">
        <v>209</v>
      </c>
      <c r="I11" s="112" t="s">
        <v>209</v>
      </c>
    </row>
    <row r="12" spans="1:9" ht="153">
      <c r="A12" s="434" t="s">
        <v>212</v>
      </c>
      <c r="B12" s="435"/>
      <c r="C12" s="436" t="s">
        <v>211</v>
      </c>
      <c r="D12" s="436"/>
      <c r="E12" s="436"/>
      <c r="F12" s="114" t="s">
        <v>213</v>
      </c>
      <c r="G12" s="114" t="s">
        <v>214</v>
      </c>
      <c r="H12" s="114" t="s">
        <v>215</v>
      </c>
      <c r="I12" s="115" t="s">
        <v>216</v>
      </c>
    </row>
    <row r="13" spans="1:9" ht="18.3">
      <c r="A13" s="434" t="s">
        <v>217</v>
      </c>
      <c r="B13" s="435"/>
      <c r="C13" s="437"/>
      <c r="D13" s="438"/>
      <c r="E13" s="116" t="s">
        <v>218</v>
      </c>
      <c r="F13" s="116" t="s">
        <v>218</v>
      </c>
      <c r="G13" s="116" t="s">
        <v>218</v>
      </c>
      <c r="H13" s="116" t="s">
        <v>218</v>
      </c>
      <c r="I13" s="116" t="s">
        <v>218</v>
      </c>
    </row>
    <row r="14" spans="1:9">
      <c r="A14" s="117" t="s">
        <v>219</v>
      </c>
      <c r="B14" s="117"/>
      <c r="C14" s="118"/>
      <c r="F14" s="52" t="s">
        <v>211</v>
      </c>
    </row>
  </sheetData>
  <mergeCells count="10">
    <mergeCell ref="A12:B12"/>
    <mergeCell ref="C12:E12"/>
    <mergeCell ref="A13:B13"/>
    <mergeCell ref="C13:D13"/>
    <mergeCell ref="A4:I4"/>
    <mergeCell ref="A6:B7"/>
    <mergeCell ref="A8:B8"/>
    <mergeCell ref="A9:B9"/>
    <mergeCell ref="A10:A11"/>
    <mergeCell ref="C11:G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A1:Q123"/>
  <sheetViews>
    <sheetView tabSelected="1" topLeftCell="E69" zoomScaleNormal="100" workbookViewId="0">
      <selection activeCell="K67" sqref="K67"/>
    </sheetView>
  </sheetViews>
  <sheetFormatPr defaultColWidth="8.83984375" defaultRowHeight="15.3"/>
  <cols>
    <col min="1" max="1" width="13.41796875" style="209" customWidth="1"/>
    <col min="2" max="2" width="9.68359375" style="2" customWidth="1"/>
    <col min="3" max="3" width="6.15625" style="2" customWidth="1"/>
    <col min="4" max="4" width="36.41796875" style="3" customWidth="1"/>
    <col min="5" max="5" width="17.15625" style="2" customWidth="1"/>
    <col min="6" max="6" width="10.68359375" style="210" customWidth="1"/>
    <col min="7" max="7" width="23.41796875" style="211" customWidth="1"/>
    <col min="8" max="8" width="25.83984375" style="211" customWidth="1"/>
    <col min="9" max="9" width="29.15625" style="211" customWidth="1"/>
    <col min="10" max="10" width="32.26171875" style="211" customWidth="1"/>
    <col min="11" max="11" width="34.15625" style="211" customWidth="1"/>
    <col min="12" max="16384" width="8.83984375" style="5"/>
  </cols>
  <sheetData>
    <row r="1" spans="1:17" ht="16.2">
      <c r="A1" s="119" t="s">
        <v>106</v>
      </c>
      <c r="B1" s="120"/>
      <c r="C1" s="120"/>
      <c r="D1" s="121"/>
      <c r="E1" s="120"/>
      <c r="F1" s="122"/>
      <c r="G1" s="123"/>
      <c r="H1" s="123"/>
      <c r="I1" s="123"/>
      <c r="J1" s="123"/>
      <c r="K1" s="123"/>
    </row>
    <row r="2" spans="1:17" ht="16.2">
      <c r="A2" s="124" t="s">
        <v>107</v>
      </c>
      <c r="B2" s="120"/>
      <c r="C2" s="120"/>
      <c r="D2" s="121"/>
      <c r="E2" s="120"/>
      <c r="F2" s="122"/>
      <c r="G2" s="123"/>
      <c r="H2" s="123"/>
      <c r="I2" s="123"/>
      <c r="J2" s="123"/>
      <c r="K2" s="123"/>
    </row>
    <row r="3" spans="1:17" ht="16.2">
      <c r="A3" s="125"/>
      <c r="B3" s="126"/>
      <c r="C3" s="126"/>
      <c r="D3" s="126"/>
      <c r="E3" s="126"/>
      <c r="F3" s="127"/>
      <c r="G3" s="123"/>
      <c r="H3" s="123"/>
      <c r="I3" s="123"/>
      <c r="J3" s="123"/>
      <c r="K3" s="123"/>
    </row>
    <row r="4" spans="1:17" ht="31.5" customHeight="1">
      <c r="A4" s="125"/>
      <c r="B4" s="126"/>
      <c r="C4" s="126"/>
      <c r="D4" s="550" t="s">
        <v>220</v>
      </c>
      <c r="E4" s="550"/>
      <c r="F4" s="550"/>
      <c r="G4" s="550"/>
      <c r="H4" s="550"/>
      <c r="I4" s="550"/>
      <c r="J4" s="550"/>
      <c r="K4" s="550"/>
    </row>
    <row r="5" spans="1:17" ht="16.2">
      <c r="A5" s="125"/>
      <c r="B5" s="126"/>
      <c r="C5" s="126"/>
      <c r="D5" s="126"/>
      <c r="E5" s="126"/>
      <c r="F5" s="127"/>
      <c r="G5" s="123"/>
      <c r="H5" s="123"/>
      <c r="I5" s="123"/>
      <c r="J5" s="123"/>
      <c r="K5" s="123"/>
    </row>
    <row r="6" spans="1:17" ht="28.5" customHeight="1">
      <c r="A6" s="125"/>
      <c r="B6" s="126"/>
      <c r="C6" s="126"/>
      <c r="D6" s="128"/>
      <c r="E6" s="129" t="s">
        <v>221</v>
      </c>
      <c r="F6" s="130" t="s">
        <v>222</v>
      </c>
      <c r="G6" s="131" t="s">
        <v>223</v>
      </c>
      <c r="H6" s="132" t="s">
        <v>224</v>
      </c>
      <c r="I6" s="133" t="s">
        <v>105</v>
      </c>
      <c r="J6" s="134" t="s">
        <v>225</v>
      </c>
      <c r="K6" s="135" t="s">
        <v>226</v>
      </c>
    </row>
    <row r="7" spans="1:17" ht="23.25" customHeight="1">
      <c r="A7" s="125"/>
      <c r="B7" s="126"/>
      <c r="C7" s="126"/>
      <c r="D7" s="136" t="s">
        <v>227</v>
      </c>
      <c r="E7" s="137">
        <v>80</v>
      </c>
      <c r="F7" s="137">
        <v>90</v>
      </c>
      <c r="G7" s="137">
        <v>100</v>
      </c>
      <c r="H7" s="137">
        <v>120</v>
      </c>
      <c r="I7" s="137">
        <v>140</v>
      </c>
      <c r="J7" s="137">
        <v>150</v>
      </c>
      <c r="K7" s="137">
        <v>180</v>
      </c>
    </row>
    <row r="8" spans="1:17" ht="23.25" customHeight="1">
      <c r="A8" s="138"/>
      <c r="B8" s="126"/>
      <c r="C8" s="126"/>
      <c r="D8" s="139" t="s">
        <v>228</v>
      </c>
      <c r="E8" s="140">
        <v>100</v>
      </c>
      <c r="F8" s="140">
        <v>180</v>
      </c>
      <c r="G8" s="140">
        <v>240</v>
      </c>
      <c r="H8" s="140">
        <v>340</v>
      </c>
      <c r="I8" s="140">
        <v>400</v>
      </c>
      <c r="J8" s="140">
        <v>420</v>
      </c>
      <c r="K8" s="140">
        <v>450</v>
      </c>
      <c r="Q8" s="5" t="s">
        <v>211</v>
      </c>
    </row>
    <row r="9" spans="1:17" ht="23.25" customHeight="1">
      <c r="A9" s="138"/>
      <c r="B9" s="126"/>
      <c r="C9" s="126"/>
      <c r="D9" s="141" t="s">
        <v>229</v>
      </c>
      <c r="E9" s="140">
        <v>5</v>
      </c>
      <c r="F9" s="140">
        <v>5</v>
      </c>
      <c r="G9" s="140">
        <v>10</v>
      </c>
      <c r="H9" s="140">
        <v>40</v>
      </c>
      <c r="I9" s="140">
        <v>90</v>
      </c>
      <c r="J9" s="140">
        <v>110</v>
      </c>
      <c r="K9" s="140">
        <v>120</v>
      </c>
    </row>
    <row r="10" spans="1:17" ht="23.25" customHeight="1">
      <c r="A10" s="138"/>
      <c r="B10" s="126"/>
      <c r="C10" s="126"/>
      <c r="D10" s="142" t="s">
        <v>230</v>
      </c>
      <c r="E10" s="140">
        <v>5</v>
      </c>
      <c r="F10" s="140">
        <v>5</v>
      </c>
      <c r="G10" s="140">
        <v>10</v>
      </c>
      <c r="H10" s="140">
        <v>40</v>
      </c>
      <c r="I10" s="140">
        <v>70</v>
      </c>
      <c r="J10" s="140">
        <v>80</v>
      </c>
      <c r="K10" s="140">
        <v>100</v>
      </c>
    </row>
    <row r="11" spans="1:17" ht="33.75" customHeight="1">
      <c r="A11" s="138"/>
      <c r="B11" s="126"/>
      <c r="C11" s="126"/>
      <c r="D11" s="143" t="s">
        <v>231</v>
      </c>
      <c r="E11" s="140">
        <v>10</v>
      </c>
      <c r="F11" s="140">
        <v>20</v>
      </c>
      <c r="G11" s="140">
        <v>40</v>
      </c>
      <c r="H11" s="140">
        <v>60</v>
      </c>
      <c r="I11" s="140">
        <v>100</v>
      </c>
      <c r="J11" s="140">
        <v>140</v>
      </c>
      <c r="K11" s="140">
        <v>150</v>
      </c>
    </row>
    <row r="12" spans="1:17" ht="23.25" customHeight="1">
      <c r="A12" s="138"/>
      <c r="B12" s="126"/>
      <c r="C12" s="126"/>
      <c r="D12" s="144" t="s">
        <v>232</v>
      </c>
      <c r="E12" s="145">
        <v>200</v>
      </c>
      <c r="F12" s="146">
        <v>300</v>
      </c>
      <c r="G12" s="147">
        <v>400</v>
      </c>
      <c r="H12" s="148">
        <v>600</v>
      </c>
      <c r="I12" s="149">
        <v>800</v>
      </c>
      <c r="J12" s="150">
        <v>900</v>
      </c>
      <c r="K12" s="145">
        <v>1000</v>
      </c>
    </row>
    <row r="13" spans="1:17" ht="16.2">
      <c r="A13" s="138"/>
      <c r="B13" s="126"/>
      <c r="C13" s="126"/>
      <c r="D13" s="151"/>
      <c r="E13" s="152"/>
      <c r="F13" s="153"/>
      <c r="G13" s="154"/>
      <c r="H13" s="154"/>
      <c r="I13" s="154"/>
      <c r="J13" s="154"/>
      <c r="K13" s="155"/>
    </row>
    <row r="14" spans="1:17" s="15" customFormat="1" ht="15.9">
      <c r="A14" s="551" t="s">
        <v>20</v>
      </c>
      <c r="B14" s="423" t="s">
        <v>21</v>
      </c>
      <c r="C14" s="423"/>
      <c r="D14" s="423"/>
      <c r="E14" s="423"/>
      <c r="F14" s="551" t="s">
        <v>233</v>
      </c>
      <c r="G14" s="551"/>
      <c r="H14" s="551"/>
      <c r="I14" s="551"/>
      <c r="J14" s="551"/>
      <c r="K14" s="551"/>
    </row>
    <row r="15" spans="1:17" s="15" customFormat="1" ht="15.9">
      <c r="A15" s="552"/>
      <c r="B15" s="553"/>
      <c r="C15" s="553"/>
      <c r="D15" s="553"/>
      <c r="E15" s="553"/>
      <c r="F15" s="554">
        <f>SUM(F26,F28,K16:K17,K20,K22)</f>
        <v>180</v>
      </c>
      <c r="G15" s="554"/>
      <c r="H15" s="554"/>
      <c r="I15" s="554"/>
      <c r="J15" s="554"/>
      <c r="K15" s="554"/>
    </row>
    <row r="16" spans="1:17" s="36" customFormat="1" ht="32.4">
      <c r="A16" s="532" t="s">
        <v>23</v>
      </c>
      <c r="B16" s="517" t="s">
        <v>24</v>
      </c>
      <c r="C16" s="477">
        <v>1</v>
      </c>
      <c r="D16" s="157" t="s">
        <v>234</v>
      </c>
      <c r="E16" s="530" t="s">
        <v>25</v>
      </c>
      <c r="F16" s="158">
        <v>15</v>
      </c>
      <c r="G16" s="548" t="s">
        <v>235</v>
      </c>
      <c r="H16" s="156" t="s">
        <v>236</v>
      </c>
      <c r="I16" s="157" t="s">
        <v>29</v>
      </c>
      <c r="J16" s="159"/>
      <c r="K16" s="160">
        <v>5</v>
      </c>
    </row>
    <row r="17" spans="1:11" s="36" customFormat="1" ht="32.4">
      <c r="A17" s="533"/>
      <c r="B17" s="528"/>
      <c r="C17" s="529"/>
      <c r="D17" s="161" t="s">
        <v>237</v>
      </c>
      <c r="E17" s="537"/>
      <c r="F17" s="162">
        <v>15</v>
      </c>
      <c r="G17" s="549"/>
      <c r="H17" s="163" t="s">
        <v>238</v>
      </c>
      <c r="I17" s="164" t="s">
        <v>30</v>
      </c>
      <c r="J17" s="165"/>
      <c r="K17" s="166">
        <v>10</v>
      </c>
    </row>
    <row r="18" spans="1:11" s="36" customFormat="1" ht="32.4">
      <c r="A18" s="533"/>
      <c r="B18" s="528"/>
      <c r="C18" s="529"/>
      <c r="D18" s="161" t="s">
        <v>239</v>
      </c>
      <c r="E18" s="537"/>
      <c r="F18" s="162">
        <v>20</v>
      </c>
      <c r="G18" s="541" t="s">
        <v>31</v>
      </c>
      <c r="H18" s="544" t="s">
        <v>240</v>
      </c>
      <c r="I18" s="167" t="s">
        <v>111</v>
      </c>
      <c r="J18" s="545" t="s">
        <v>445</v>
      </c>
      <c r="K18" s="168">
        <v>5</v>
      </c>
    </row>
    <row r="19" spans="1:11" s="36" customFormat="1" ht="32.4">
      <c r="A19" s="533"/>
      <c r="B19" s="528"/>
      <c r="C19" s="529"/>
      <c r="D19" s="161" t="s">
        <v>241</v>
      </c>
      <c r="E19" s="537"/>
      <c r="F19" s="162">
        <v>25</v>
      </c>
      <c r="G19" s="542"/>
      <c r="H19" s="528"/>
      <c r="I19" s="161" t="s">
        <v>112</v>
      </c>
      <c r="J19" s="537"/>
      <c r="K19" s="169">
        <v>10</v>
      </c>
    </row>
    <row r="20" spans="1:11" s="36" customFormat="1" ht="32.4">
      <c r="A20" s="533"/>
      <c r="B20" s="528"/>
      <c r="C20" s="529"/>
      <c r="D20" s="170" t="s">
        <v>242</v>
      </c>
      <c r="E20" s="537"/>
      <c r="F20" s="171">
        <v>30</v>
      </c>
      <c r="G20" s="543"/>
      <c r="H20" s="535"/>
      <c r="I20" s="172" t="s">
        <v>113</v>
      </c>
      <c r="J20" s="538"/>
      <c r="K20" s="173">
        <v>15</v>
      </c>
    </row>
    <row r="21" spans="1:11" s="36" customFormat="1" ht="64.8">
      <c r="A21" s="533"/>
      <c r="B21" s="528"/>
      <c r="C21" s="529"/>
      <c r="D21" s="161" t="s">
        <v>243</v>
      </c>
      <c r="E21" s="537"/>
      <c r="F21" s="162">
        <v>50</v>
      </c>
      <c r="G21" s="546" t="s">
        <v>114</v>
      </c>
      <c r="H21" s="460" t="s">
        <v>244</v>
      </c>
      <c r="I21" s="182" t="s">
        <v>115</v>
      </c>
      <c r="J21" s="547" t="s">
        <v>25</v>
      </c>
      <c r="K21" s="237">
        <v>5</v>
      </c>
    </row>
    <row r="22" spans="1:11" s="36" customFormat="1" ht="48.6">
      <c r="A22" s="533"/>
      <c r="B22" s="528"/>
      <c r="C22" s="529"/>
      <c r="D22" s="229" t="s">
        <v>499</v>
      </c>
      <c r="E22" s="537"/>
      <c r="F22" s="162">
        <v>60</v>
      </c>
      <c r="G22" s="546"/>
      <c r="H22" s="460"/>
      <c r="I22" s="182" t="s">
        <v>116</v>
      </c>
      <c r="J22" s="547"/>
      <c r="K22" s="237">
        <v>10</v>
      </c>
    </row>
    <row r="23" spans="1:11" s="36" customFormat="1" ht="32.4">
      <c r="A23" s="533"/>
      <c r="B23" s="528"/>
      <c r="C23" s="529"/>
      <c r="D23" s="161" t="s">
        <v>246</v>
      </c>
      <c r="E23" s="537"/>
      <c r="F23" s="162">
        <v>70</v>
      </c>
      <c r="G23" s="181"/>
      <c r="H23" s="181"/>
      <c r="I23" s="181"/>
      <c r="J23" s="181"/>
      <c r="K23" s="181"/>
    </row>
    <row r="24" spans="1:11" s="36" customFormat="1" ht="16.2">
      <c r="A24" s="533"/>
      <c r="B24" s="528"/>
      <c r="C24" s="529"/>
      <c r="D24" s="161" t="s">
        <v>245</v>
      </c>
      <c r="E24" s="537"/>
      <c r="F24" s="162">
        <v>80</v>
      </c>
      <c r="G24" s="181"/>
      <c r="H24" s="181"/>
      <c r="I24" s="181"/>
      <c r="J24" s="181"/>
      <c r="K24" s="181"/>
    </row>
    <row r="25" spans="1:11" s="36" customFormat="1" ht="16.2">
      <c r="A25" s="533"/>
      <c r="B25" s="528"/>
      <c r="C25" s="529"/>
      <c r="D25" s="170" t="s">
        <v>247</v>
      </c>
      <c r="E25" s="537"/>
      <c r="F25" s="171">
        <v>90</v>
      </c>
      <c r="G25" s="181"/>
      <c r="H25" s="181"/>
      <c r="I25" s="181"/>
      <c r="J25" s="181"/>
      <c r="K25" s="181"/>
    </row>
    <row r="26" spans="1:11" s="36" customFormat="1" ht="64.8">
      <c r="A26" s="533"/>
      <c r="B26" s="535"/>
      <c r="C26" s="536"/>
      <c r="D26" s="172" t="s">
        <v>248</v>
      </c>
      <c r="E26" s="538"/>
      <c r="F26" s="174">
        <v>100</v>
      </c>
      <c r="G26" s="181"/>
      <c r="H26" s="181"/>
      <c r="I26" s="181"/>
      <c r="J26" s="181"/>
      <c r="K26" s="181"/>
    </row>
    <row r="27" spans="1:11" s="36" customFormat="1" ht="16.2">
      <c r="A27" s="533"/>
      <c r="B27" s="517" t="s">
        <v>24</v>
      </c>
      <c r="C27" s="477">
        <v>2</v>
      </c>
      <c r="D27" s="157" t="s">
        <v>26</v>
      </c>
      <c r="E27" s="530" t="s">
        <v>25</v>
      </c>
      <c r="F27" s="158">
        <v>25</v>
      </c>
      <c r="G27" s="181"/>
      <c r="H27" s="181"/>
      <c r="I27" s="181"/>
      <c r="J27" s="181"/>
      <c r="K27" s="181"/>
    </row>
    <row r="28" spans="1:11" s="36" customFormat="1" ht="16.2">
      <c r="A28" s="534"/>
      <c r="B28" s="518"/>
      <c r="C28" s="478"/>
      <c r="D28" s="175" t="s">
        <v>27</v>
      </c>
      <c r="E28" s="531"/>
      <c r="F28" s="175">
        <v>40</v>
      </c>
      <c r="G28" s="181"/>
      <c r="H28" s="181"/>
      <c r="I28" s="181"/>
      <c r="J28" s="181"/>
      <c r="K28" s="181"/>
    </row>
    <row r="29" spans="1:11" ht="33" customHeight="1">
      <c r="A29" s="412" t="s">
        <v>43</v>
      </c>
      <c r="B29" s="412" t="s">
        <v>249</v>
      </c>
      <c r="C29" s="412"/>
      <c r="D29" s="412"/>
      <c r="E29" s="412"/>
      <c r="F29" s="176" t="s">
        <v>22</v>
      </c>
      <c r="G29" s="539" t="s">
        <v>250</v>
      </c>
      <c r="H29" s="539"/>
      <c r="I29" s="539"/>
      <c r="J29" s="539"/>
      <c r="K29" s="540"/>
    </row>
    <row r="30" spans="1:11" ht="15.9">
      <c r="A30" s="413"/>
      <c r="B30" s="413"/>
      <c r="C30" s="413"/>
      <c r="D30" s="413"/>
      <c r="E30" s="413"/>
      <c r="F30" s="177" t="e">
        <f xml:space="preserve"> SUM(F31:F41,F44,F47,F50,F53,F57,F62,#REF!,F66:F69)</f>
        <v>#REF!</v>
      </c>
      <c r="G30" s="178" t="s">
        <v>251</v>
      </c>
      <c r="H30" s="179" t="s">
        <v>252</v>
      </c>
      <c r="I30" s="179" t="s">
        <v>253</v>
      </c>
      <c r="J30" s="179" t="s">
        <v>254</v>
      </c>
      <c r="K30" s="179" t="s">
        <v>255</v>
      </c>
    </row>
    <row r="31" spans="1:11" s="38" customFormat="1" ht="129.6">
      <c r="A31" s="525" t="s">
        <v>45</v>
      </c>
      <c r="B31" s="180" t="s">
        <v>24</v>
      </c>
      <c r="C31" s="181">
        <v>7</v>
      </c>
      <c r="D31" s="182" t="s">
        <v>256</v>
      </c>
      <c r="E31" s="180"/>
      <c r="F31" s="183">
        <v>5</v>
      </c>
      <c r="G31" s="184" t="s">
        <v>257</v>
      </c>
      <c r="H31" s="180" t="s">
        <v>258</v>
      </c>
      <c r="I31" s="180" t="s">
        <v>259</v>
      </c>
      <c r="J31" s="180" t="s">
        <v>260</v>
      </c>
      <c r="K31" s="180" t="s">
        <v>261</v>
      </c>
    </row>
    <row r="32" spans="1:11" s="38" customFormat="1" ht="97.2">
      <c r="A32" s="526"/>
      <c r="B32" s="185" t="s">
        <v>24</v>
      </c>
      <c r="C32" s="186">
        <v>8</v>
      </c>
      <c r="D32" s="187" t="s">
        <v>262</v>
      </c>
      <c r="E32" s="185"/>
      <c r="F32" s="188">
        <v>5</v>
      </c>
      <c r="G32" s="189" t="s">
        <v>257</v>
      </c>
      <c r="H32" s="185" t="s">
        <v>258</v>
      </c>
      <c r="I32" s="185" t="s">
        <v>259</v>
      </c>
      <c r="J32" s="185" t="s">
        <v>260</v>
      </c>
      <c r="K32" s="185" t="s">
        <v>261</v>
      </c>
    </row>
    <row r="33" spans="1:12" s="38" customFormat="1" ht="129.6">
      <c r="A33" s="527"/>
      <c r="B33" s="180" t="s">
        <v>24</v>
      </c>
      <c r="C33" s="181">
        <v>9</v>
      </c>
      <c r="D33" s="182" t="s">
        <v>263</v>
      </c>
      <c r="E33" s="180"/>
      <c r="F33" s="183">
        <v>5</v>
      </c>
      <c r="G33" s="240"/>
      <c r="H33" s="238"/>
      <c r="I33" s="238" t="s">
        <v>264</v>
      </c>
      <c r="J33" s="238" t="s">
        <v>265</v>
      </c>
      <c r="K33" s="238" t="s">
        <v>266</v>
      </c>
    </row>
    <row r="34" spans="1:12" s="38" customFormat="1" ht="64.8">
      <c r="A34" s="505" t="s">
        <v>47</v>
      </c>
      <c r="B34" s="190" t="s">
        <v>24</v>
      </c>
      <c r="C34" s="191">
        <v>10</v>
      </c>
      <c r="D34" s="192" t="s">
        <v>267</v>
      </c>
      <c r="E34" s="190" t="s">
        <v>211</v>
      </c>
      <c r="F34" s="193">
        <v>5</v>
      </c>
      <c r="G34" s="249"/>
      <c r="H34" s="242"/>
      <c r="I34" s="242"/>
      <c r="J34" s="243" t="s">
        <v>268</v>
      </c>
      <c r="K34" s="243" t="s">
        <v>269</v>
      </c>
    </row>
    <row r="35" spans="1:12" s="38" customFormat="1" ht="194.4">
      <c r="A35" s="505"/>
      <c r="B35" s="180" t="s">
        <v>24</v>
      </c>
      <c r="C35" s="181">
        <v>11</v>
      </c>
      <c r="D35" s="182" t="s">
        <v>270</v>
      </c>
      <c r="E35" s="180"/>
      <c r="F35" s="183">
        <v>5</v>
      </c>
      <c r="G35" s="184" t="s">
        <v>257</v>
      </c>
      <c r="H35" s="180" t="s">
        <v>258</v>
      </c>
      <c r="I35" s="180" t="s">
        <v>259</v>
      </c>
      <c r="J35" s="180" t="s">
        <v>260</v>
      </c>
      <c r="K35" s="180" t="s">
        <v>261</v>
      </c>
    </row>
    <row r="36" spans="1:12" s="38" customFormat="1" ht="194.4">
      <c r="A36" s="505"/>
      <c r="B36" s="194" t="s">
        <v>24</v>
      </c>
      <c r="C36" s="195">
        <v>12</v>
      </c>
      <c r="D36" s="196" t="s">
        <v>271</v>
      </c>
      <c r="E36" s="194"/>
      <c r="F36" s="197">
        <v>5</v>
      </c>
      <c r="G36" s="236" t="s">
        <v>257</v>
      </c>
      <c r="H36" s="194" t="s">
        <v>258</v>
      </c>
      <c r="I36" s="194" t="s">
        <v>259</v>
      </c>
      <c r="J36" s="194" t="s">
        <v>260</v>
      </c>
      <c r="K36" s="194" t="s">
        <v>261</v>
      </c>
    </row>
    <row r="37" spans="1:12" s="38" customFormat="1" ht="99" customHeight="1">
      <c r="A37" s="459" t="s">
        <v>526</v>
      </c>
      <c r="B37" s="261" t="s">
        <v>24</v>
      </c>
      <c r="C37" s="254">
        <v>13</v>
      </c>
      <c r="D37" s="263" t="s">
        <v>525</v>
      </c>
      <c r="E37" s="262"/>
      <c r="F37" s="208">
        <v>10</v>
      </c>
      <c r="G37" s="253"/>
      <c r="H37" s="264"/>
      <c r="I37" s="260" t="s">
        <v>524</v>
      </c>
      <c r="J37" s="260" t="s">
        <v>272</v>
      </c>
      <c r="K37" s="260" t="s">
        <v>273</v>
      </c>
    </row>
    <row r="38" spans="1:12" s="38" customFormat="1" ht="86.25" customHeight="1">
      <c r="A38" s="459"/>
      <c r="B38" s="261" t="s">
        <v>24</v>
      </c>
      <c r="C38" s="254">
        <v>14</v>
      </c>
      <c r="D38" s="265" t="s">
        <v>452</v>
      </c>
      <c r="E38" s="262"/>
      <c r="F38" s="208">
        <v>10</v>
      </c>
      <c r="G38" s="345" t="s">
        <v>565</v>
      </c>
      <c r="H38" s="346" t="s">
        <v>566</v>
      </c>
      <c r="I38" s="346" t="s">
        <v>573</v>
      </c>
      <c r="J38" s="346" t="s">
        <v>574</v>
      </c>
      <c r="K38" s="346" t="s">
        <v>561</v>
      </c>
    </row>
    <row r="39" spans="1:12" s="38" customFormat="1" ht="76.5" customHeight="1">
      <c r="A39" s="459"/>
      <c r="B39" s="261" t="s">
        <v>24</v>
      </c>
      <c r="C39" s="254">
        <v>15</v>
      </c>
      <c r="D39" s="265" t="s">
        <v>453</v>
      </c>
      <c r="E39" s="262"/>
      <c r="F39" s="208">
        <v>10</v>
      </c>
      <c r="G39" s="345" t="s">
        <v>565</v>
      </c>
      <c r="H39" s="346" t="s">
        <v>566</v>
      </c>
      <c r="I39" s="346" t="s">
        <v>567</v>
      </c>
      <c r="J39" s="346" t="s">
        <v>568</v>
      </c>
      <c r="K39" s="346" t="s">
        <v>561</v>
      </c>
    </row>
    <row r="40" spans="1:12" s="38" customFormat="1" ht="74.25" customHeight="1">
      <c r="A40" s="459"/>
      <c r="B40" s="261" t="s">
        <v>24</v>
      </c>
      <c r="C40" s="254">
        <v>16</v>
      </c>
      <c r="D40" s="265" t="s">
        <v>485</v>
      </c>
      <c r="E40" s="262"/>
      <c r="F40" s="208">
        <v>10</v>
      </c>
      <c r="G40" s="345" t="s">
        <v>565</v>
      </c>
      <c r="H40" s="346" t="s">
        <v>566</v>
      </c>
      <c r="I40" s="346" t="s">
        <v>567</v>
      </c>
      <c r="J40" s="346" t="s">
        <v>568</v>
      </c>
      <c r="K40" s="346" t="s">
        <v>561</v>
      </c>
    </row>
    <row r="41" spans="1:12" s="38" customFormat="1" ht="80.25" customHeight="1">
      <c r="A41" s="459"/>
      <c r="B41" s="261" t="s">
        <v>24</v>
      </c>
      <c r="C41" s="254">
        <v>17</v>
      </c>
      <c r="D41" s="265" t="s">
        <v>486</v>
      </c>
      <c r="E41" s="262"/>
      <c r="F41" s="208">
        <v>20</v>
      </c>
      <c r="G41" s="345" t="s">
        <v>569</v>
      </c>
      <c r="H41" s="346" t="s">
        <v>570</v>
      </c>
      <c r="I41" s="346" t="s">
        <v>571</v>
      </c>
      <c r="J41" s="346" t="s">
        <v>572</v>
      </c>
      <c r="K41" s="346" t="s">
        <v>560</v>
      </c>
      <c r="L41" s="347"/>
    </row>
    <row r="42" spans="1:12" s="38" customFormat="1" ht="113.4">
      <c r="A42" s="525" t="s">
        <v>128</v>
      </c>
      <c r="B42" s="517" t="s">
        <v>24</v>
      </c>
      <c r="C42" s="477">
        <v>18</v>
      </c>
      <c r="D42" s="182" t="s">
        <v>129</v>
      </c>
      <c r="E42" s="521" t="s">
        <v>130</v>
      </c>
      <c r="F42" s="183">
        <v>40</v>
      </c>
      <c r="G42" s="238"/>
      <c r="H42" s="238" t="s">
        <v>562</v>
      </c>
      <c r="I42" s="238" t="s">
        <v>274</v>
      </c>
      <c r="J42" s="238" t="s">
        <v>563</v>
      </c>
      <c r="K42" s="238" t="s">
        <v>564</v>
      </c>
    </row>
    <row r="43" spans="1:12" s="38" customFormat="1" ht="142.5" customHeight="1">
      <c r="A43" s="526"/>
      <c r="B43" s="528"/>
      <c r="C43" s="529"/>
      <c r="D43" s="182" t="s">
        <v>131</v>
      </c>
      <c r="E43" s="521"/>
      <c r="F43" s="183">
        <v>60</v>
      </c>
      <c r="G43" s="238"/>
      <c r="H43" s="238" t="s">
        <v>275</v>
      </c>
      <c r="I43" s="238" t="s">
        <v>276</v>
      </c>
      <c r="J43" s="238" t="s">
        <v>277</v>
      </c>
      <c r="K43" s="238" t="s">
        <v>278</v>
      </c>
    </row>
    <row r="44" spans="1:12" s="38" customFormat="1" ht="81">
      <c r="A44" s="527"/>
      <c r="B44" s="518"/>
      <c r="C44" s="478"/>
      <c r="D44" s="182" t="s">
        <v>132</v>
      </c>
      <c r="E44" s="521"/>
      <c r="F44" s="183">
        <v>80</v>
      </c>
      <c r="G44" s="238"/>
      <c r="H44" s="238" t="s">
        <v>279</v>
      </c>
      <c r="I44" s="238" t="s">
        <v>280</v>
      </c>
      <c r="J44" s="238" t="s">
        <v>281</v>
      </c>
      <c r="K44" s="238" t="s">
        <v>282</v>
      </c>
    </row>
    <row r="45" spans="1:12" s="38" customFormat="1" ht="81">
      <c r="A45" s="459" t="s">
        <v>133</v>
      </c>
      <c r="B45" s="460" t="s">
        <v>24</v>
      </c>
      <c r="C45" s="461">
        <v>19</v>
      </c>
      <c r="D45" s="182" t="s">
        <v>134</v>
      </c>
      <c r="E45" s="521" t="s">
        <v>130</v>
      </c>
      <c r="F45" s="183">
        <v>10</v>
      </c>
      <c r="G45" s="238" t="s">
        <v>283</v>
      </c>
      <c r="H45" s="238" t="s">
        <v>284</v>
      </c>
      <c r="I45" s="238" t="s">
        <v>285</v>
      </c>
      <c r="J45" s="238" t="s">
        <v>286</v>
      </c>
      <c r="K45" s="238" t="s">
        <v>287</v>
      </c>
    </row>
    <row r="46" spans="1:12" s="38" customFormat="1" ht="48.6">
      <c r="A46" s="459"/>
      <c r="B46" s="460" t="s">
        <v>24</v>
      </c>
      <c r="C46" s="461"/>
      <c r="D46" s="182" t="s">
        <v>135</v>
      </c>
      <c r="E46" s="521"/>
      <c r="F46" s="183">
        <v>20</v>
      </c>
      <c r="G46" s="238" t="s">
        <v>288</v>
      </c>
      <c r="H46" s="238" t="s">
        <v>289</v>
      </c>
      <c r="I46" s="238" t="s">
        <v>290</v>
      </c>
      <c r="J46" s="238" t="s">
        <v>291</v>
      </c>
      <c r="K46" s="238" t="s">
        <v>292</v>
      </c>
    </row>
    <row r="47" spans="1:12" s="38" customFormat="1" ht="75.75" customHeight="1">
      <c r="A47" s="459"/>
      <c r="B47" s="460" t="s">
        <v>24</v>
      </c>
      <c r="C47" s="461"/>
      <c r="D47" s="182" t="s">
        <v>136</v>
      </c>
      <c r="E47" s="521"/>
      <c r="F47" s="183">
        <v>30</v>
      </c>
      <c r="G47" s="253"/>
      <c r="H47" s="253"/>
      <c r="I47" s="238" t="s">
        <v>293</v>
      </c>
      <c r="J47" s="238" t="s">
        <v>294</v>
      </c>
      <c r="K47" s="238" t="s">
        <v>295</v>
      </c>
    </row>
    <row r="48" spans="1:12" s="38" customFormat="1" ht="153.75" customHeight="1">
      <c r="A48" s="479" t="s">
        <v>457</v>
      </c>
      <c r="B48" s="524" t="s">
        <v>24</v>
      </c>
      <c r="C48" s="524">
        <v>20</v>
      </c>
      <c r="D48" s="254" t="s">
        <v>505</v>
      </c>
      <c r="E48" s="521" t="s">
        <v>130</v>
      </c>
      <c r="F48" s="255">
        <v>10</v>
      </c>
      <c r="G48" s="238" t="s">
        <v>519</v>
      </c>
      <c r="H48" s="238" t="s">
        <v>520</v>
      </c>
      <c r="I48" s="238" t="s">
        <v>534</v>
      </c>
      <c r="J48" s="238" t="s">
        <v>575</v>
      </c>
      <c r="K48" s="238" t="s">
        <v>576</v>
      </c>
    </row>
    <row r="49" spans="1:13" s="38" customFormat="1" ht="137.25" customHeight="1">
      <c r="A49" s="480"/>
      <c r="B49" s="524" t="s">
        <v>24</v>
      </c>
      <c r="C49" s="524">
        <v>32</v>
      </c>
      <c r="D49" s="254" t="s">
        <v>535</v>
      </c>
      <c r="E49" s="521"/>
      <c r="F49" s="255">
        <v>10</v>
      </c>
      <c r="G49" s="253"/>
      <c r="H49" s="253"/>
      <c r="I49" s="238" t="s">
        <v>578</v>
      </c>
      <c r="J49" s="238" t="s">
        <v>577</v>
      </c>
      <c r="K49" s="238" t="s">
        <v>579</v>
      </c>
    </row>
    <row r="50" spans="1:13" s="38" customFormat="1" ht="147" customHeight="1">
      <c r="A50" s="482"/>
      <c r="B50" s="524" t="s">
        <v>24</v>
      </c>
      <c r="C50" s="524">
        <v>33</v>
      </c>
      <c r="D50" s="254" t="s">
        <v>458</v>
      </c>
      <c r="E50" s="521"/>
      <c r="F50" s="255">
        <v>10</v>
      </c>
      <c r="G50" s="253" t="s">
        <v>211</v>
      </c>
      <c r="H50" s="253"/>
      <c r="I50" s="238" t="s">
        <v>521</v>
      </c>
      <c r="J50" s="238" t="s">
        <v>536</v>
      </c>
      <c r="K50" s="238" t="s">
        <v>537</v>
      </c>
    </row>
    <row r="51" spans="1:13" s="38" customFormat="1" ht="210.6">
      <c r="A51" s="483" t="s">
        <v>141</v>
      </c>
      <c r="B51" s="456" t="s">
        <v>24</v>
      </c>
      <c r="C51" s="456">
        <v>21</v>
      </c>
      <c r="D51" s="337" t="s">
        <v>50</v>
      </c>
      <c r="E51" s="453" t="s">
        <v>51</v>
      </c>
      <c r="F51" s="338">
        <v>10</v>
      </c>
      <c r="G51" s="331" t="s">
        <v>538</v>
      </c>
      <c r="H51" s="332" t="s">
        <v>539</v>
      </c>
      <c r="I51" s="332" t="s">
        <v>540</v>
      </c>
      <c r="J51" s="332" t="s">
        <v>541</v>
      </c>
      <c r="K51" s="332" t="s">
        <v>542</v>
      </c>
    </row>
    <row r="52" spans="1:13" s="38" customFormat="1" ht="257.25" customHeight="1">
      <c r="A52" s="484"/>
      <c r="B52" s="457"/>
      <c r="C52" s="457"/>
      <c r="D52" s="339" t="s">
        <v>52</v>
      </c>
      <c r="E52" s="454"/>
      <c r="F52" s="340">
        <v>20</v>
      </c>
      <c r="G52" s="333" t="s">
        <v>296</v>
      </c>
      <c r="H52" s="334" t="s">
        <v>297</v>
      </c>
      <c r="I52" s="334" t="s">
        <v>298</v>
      </c>
      <c r="J52" s="334" t="s">
        <v>299</v>
      </c>
      <c r="K52" s="334" t="s">
        <v>300</v>
      </c>
    </row>
    <row r="53" spans="1:13" s="38" customFormat="1" ht="327.75" customHeight="1">
      <c r="A53" s="485"/>
      <c r="B53" s="458"/>
      <c r="C53" s="458"/>
      <c r="D53" s="341" t="s">
        <v>142</v>
      </c>
      <c r="E53" s="455"/>
      <c r="F53" s="342">
        <v>30</v>
      </c>
      <c r="G53" s="335"/>
      <c r="H53" s="336" t="s">
        <v>301</v>
      </c>
      <c r="I53" s="336" t="s">
        <v>302</v>
      </c>
      <c r="J53" s="336" t="s">
        <v>303</v>
      </c>
      <c r="K53" s="336" t="s">
        <v>304</v>
      </c>
    </row>
    <row r="54" spans="1:13" s="38" customFormat="1" ht="164.25" customHeight="1">
      <c r="A54" s="479" t="s">
        <v>459</v>
      </c>
      <c r="B54" s="460" t="s">
        <v>24</v>
      </c>
      <c r="C54" s="461">
        <v>22</v>
      </c>
      <c r="D54" s="182" t="s">
        <v>490</v>
      </c>
      <c r="E54" s="250"/>
      <c r="F54" s="251">
        <v>10</v>
      </c>
      <c r="G54" s="238"/>
      <c r="H54" s="238" t="s">
        <v>580</v>
      </c>
      <c r="I54" s="238" t="s">
        <v>581</v>
      </c>
      <c r="J54" s="238" t="s">
        <v>582</v>
      </c>
      <c r="K54" s="238" t="s">
        <v>583</v>
      </c>
      <c r="M54" s="231"/>
    </row>
    <row r="55" spans="1:13" s="38" customFormat="1" ht="145.80000000000001">
      <c r="A55" s="480"/>
      <c r="B55" s="460"/>
      <c r="C55" s="461"/>
      <c r="D55" s="182" t="s">
        <v>460</v>
      </c>
      <c r="E55" s="250"/>
      <c r="F55" s="251">
        <v>10</v>
      </c>
      <c r="G55" s="238"/>
      <c r="H55" s="238" t="s">
        <v>584</v>
      </c>
      <c r="I55" s="238" t="s">
        <v>585</v>
      </c>
      <c r="J55" s="238" t="s">
        <v>586</v>
      </c>
      <c r="K55" s="238" t="s">
        <v>587</v>
      </c>
    </row>
    <row r="56" spans="1:13" s="38" customFormat="1" ht="145.80000000000001">
      <c r="A56" s="481"/>
      <c r="B56" s="460"/>
      <c r="C56" s="461"/>
      <c r="D56" s="252" t="s">
        <v>461</v>
      </c>
      <c r="E56" s="250"/>
      <c r="F56" s="251">
        <v>10</v>
      </c>
      <c r="G56" s="238"/>
      <c r="H56" s="238" t="s">
        <v>588</v>
      </c>
      <c r="I56" s="238" t="s">
        <v>544</v>
      </c>
      <c r="J56" s="238" t="s">
        <v>543</v>
      </c>
      <c r="K56" s="238" t="s">
        <v>545</v>
      </c>
    </row>
    <row r="57" spans="1:13" s="38" customFormat="1" ht="113.4">
      <c r="A57" s="482"/>
      <c r="B57" s="460"/>
      <c r="C57" s="461"/>
      <c r="D57" s="182" t="s">
        <v>491</v>
      </c>
      <c r="E57" s="250"/>
      <c r="F57" s="251">
        <v>20</v>
      </c>
      <c r="G57" s="238"/>
      <c r="H57" s="238" t="s">
        <v>549</v>
      </c>
      <c r="I57" s="238" t="s">
        <v>546</v>
      </c>
      <c r="J57" s="238" t="s">
        <v>547</v>
      </c>
      <c r="K57" s="238" t="s">
        <v>548</v>
      </c>
    </row>
    <row r="58" spans="1:13" s="38" customFormat="1" ht="220.5" customHeight="1">
      <c r="A58" s="505" t="s">
        <v>148</v>
      </c>
      <c r="B58" s="460" t="s">
        <v>24</v>
      </c>
      <c r="C58" s="461">
        <v>23</v>
      </c>
      <c r="D58" s="182" t="s">
        <v>149</v>
      </c>
      <c r="E58" s="521" t="s">
        <v>130</v>
      </c>
      <c r="F58" s="183">
        <v>10</v>
      </c>
      <c r="G58" s="238" t="s">
        <v>305</v>
      </c>
      <c r="H58" s="238" t="s">
        <v>306</v>
      </c>
      <c r="I58" s="238" t="s">
        <v>307</v>
      </c>
      <c r="J58" s="238" t="s">
        <v>308</v>
      </c>
      <c r="K58" s="238" t="s">
        <v>309</v>
      </c>
    </row>
    <row r="59" spans="1:13" s="38" customFormat="1" ht="129.6">
      <c r="A59" s="505"/>
      <c r="B59" s="460"/>
      <c r="C59" s="461"/>
      <c r="D59" s="182" t="s">
        <v>150</v>
      </c>
      <c r="E59" s="521"/>
      <c r="F59" s="183">
        <v>20</v>
      </c>
      <c r="G59" s="238" t="s">
        <v>310</v>
      </c>
      <c r="H59" s="238" t="s">
        <v>311</v>
      </c>
      <c r="I59" s="238" t="s">
        <v>312</v>
      </c>
      <c r="J59" s="238" t="s">
        <v>313</v>
      </c>
      <c r="K59" s="238" t="s">
        <v>314</v>
      </c>
    </row>
    <row r="60" spans="1:13" s="38" customFormat="1" ht="210.6">
      <c r="A60" s="505"/>
      <c r="B60" s="460"/>
      <c r="C60" s="461"/>
      <c r="D60" s="182" t="s">
        <v>151</v>
      </c>
      <c r="E60" s="521"/>
      <c r="F60" s="183">
        <v>30</v>
      </c>
      <c r="G60" s="238" t="s">
        <v>502</v>
      </c>
      <c r="H60" s="238" t="s">
        <v>501</v>
      </c>
      <c r="I60" s="238" t="s">
        <v>500</v>
      </c>
      <c r="J60" s="238" t="s">
        <v>503</v>
      </c>
      <c r="K60" s="238" t="s">
        <v>504</v>
      </c>
    </row>
    <row r="61" spans="1:13" s="38" customFormat="1" ht="316.5" customHeight="1">
      <c r="A61" s="505"/>
      <c r="B61" s="460"/>
      <c r="C61" s="461"/>
      <c r="D61" s="182" t="s">
        <v>152</v>
      </c>
      <c r="E61" s="521"/>
      <c r="F61" s="183">
        <v>40</v>
      </c>
      <c r="G61" s="238" t="s">
        <v>315</v>
      </c>
      <c r="H61" s="238" t="s">
        <v>316</v>
      </c>
      <c r="I61" s="238" t="s">
        <v>317</v>
      </c>
      <c r="J61" s="238" t="s">
        <v>318</v>
      </c>
      <c r="K61" s="238" t="s">
        <v>319</v>
      </c>
    </row>
    <row r="62" spans="1:13" s="38" customFormat="1" ht="135.75" customHeight="1">
      <c r="A62" s="505"/>
      <c r="B62" s="460"/>
      <c r="C62" s="461"/>
      <c r="D62" s="255" t="s">
        <v>153</v>
      </c>
      <c r="E62" s="521"/>
      <c r="F62" s="183">
        <v>50</v>
      </c>
      <c r="G62" s="238"/>
      <c r="H62" s="238" t="s">
        <v>320</v>
      </c>
      <c r="I62" s="238" t="s">
        <v>321</v>
      </c>
      <c r="J62" s="238" t="s">
        <v>322</v>
      </c>
      <c r="K62" s="238" t="s">
        <v>323</v>
      </c>
    </row>
    <row r="63" spans="1:13" s="38" customFormat="1" ht="89.25" customHeight="1">
      <c r="A63" s="505" t="s">
        <v>463</v>
      </c>
      <c r="B63" s="460" t="s">
        <v>24</v>
      </c>
      <c r="C63" s="461">
        <v>24</v>
      </c>
      <c r="D63" s="182" t="s">
        <v>492</v>
      </c>
      <c r="E63" s="522" t="s">
        <v>130</v>
      </c>
      <c r="F63" s="251">
        <v>20</v>
      </c>
      <c r="G63" s="253"/>
      <c r="H63" s="253" t="s">
        <v>522</v>
      </c>
      <c r="I63" s="253" t="s">
        <v>507</v>
      </c>
      <c r="J63" s="253" t="s">
        <v>508</v>
      </c>
      <c r="K63" s="253" t="s">
        <v>506</v>
      </c>
    </row>
    <row r="64" spans="1:13" s="38" customFormat="1" ht="64.8">
      <c r="A64" s="505"/>
      <c r="B64" s="460"/>
      <c r="C64" s="461"/>
      <c r="D64" s="182" t="s">
        <v>493</v>
      </c>
      <c r="E64" s="523"/>
      <c r="F64" s="251">
        <v>20</v>
      </c>
      <c r="G64" s="253"/>
      <c r="H64" s="253"/>
      <c r="I64" s="253"/>
      <c r="J64" s="253"/>
      <c r="K64" s="253" t="s">
        <v>509</v>
      </c>
    </row>
    <row r="65" spans="1:16" s="38" customFormat="1" ht="186.75" customHeight="1">
      <c r="A65" s="505"/>
      <c r="B65" s="460"/>
      <c r="C65" s="461"/>
      <c r="D65" s="182" t="s">
        <v>464</v>
      </c>
      <c r="E65" s="523"/>
      <c r="F65" s="251">
        <v>10</v>
      </c>
      <c r="G65" s="253"/>
      <c r="H65" s="253"/>
      <c r="I65" s="253" t="s">
        <v>511</v>
      </c>
      <c r="J65" s="253" t="s">
        <v>510</v>
      </c>
      <c r="K65" s="253" t="s">
        <v>512</v>
      </c>
    </row>
    <row r="66" spans="1:16" s="38" customFormat="1" ht="196.5" customHeight="1">
      <c r="A66" s="507" t="s">
        <v>465</v>
      </c>
      <c r="B66" s="180" t="s">
        <v>24</v>
      </c>
      <c r="C66" s="181">
        <v>25</v>
      </c>
      <c r="D66" s="192" t="s">
        <v>495</v>
      </c>
      <c r="E66" s="257"/>
      <c r="F66" s="258">
        <v>10</v>
      </c>
      <c r="G66" s="239"/>
      <c r="H66" s="239"/>
      <c r="I66" s="239" t="s">
        <v>552</v>
      </c>
      <c r="J66" s="239" t="s">
        <v>550</v>
      </c>
      <c r="K66" s="239" t="s">
        <v>551</v>
      </c>
      <c r="L66" s="235"/>
      <c r="M66" s="343"/>
      <c r="N66" s="343"/>
      <c r="O66" s="343"/>
      <c r="P66" s="344"/>
    </row>
    <row r="67" spans="1:16" s="38" customFormat="1" ht="177" customHeight="1">
      <c r="A67" s="508"/>
      <c r="B67" s="180" t="s">
        <v>24</v>
      </c>
      <c r="C67" s="181">
        <v>26</v>
      </c>
      <c r="D67" s="182" t="s">
        <v>496</v>
      </c>
      <c r="E67" s="250"/>
      <c r="F67" s="251">
        <v>10</v>
      </c>
      <c r="G67" s="238"/>
      <c r="H67" s="238"/>
      <c r="I67" s="238" t="s">
        <v>589</v>
      </c>
      <c r="J67" s="238" t="s">
        <v>590</v>
      </c>
      <c r="K67" s="238" t="s">
        <v>591</v>
      </c>
    </row>
    <row r="68" spans="1:16" s="38" customFormat="1" ht="162">
      <c r="A68" s="508"/>
      <c r="B68" s="180" t="s">
        <v>24</v>
      </c>
      <c r="C68" s="181">
        <v>27</v>
      </c>
      <c r="D68" s="252" t="s">
        <v>497</v>
      </c>
      <c r="E68" s="250"/>
      <c r="F68" s="251">
        <v>10</v>
      </c>
      <c r="G68" s="238"/>
      <c r="H68" s="238"/>
      <c r="I68" s="238" t="s">
        <v>553</v>
      </c>
      <c r="J68" s="238" t="s">
        <v>554</v>
      </c>
      <c r="K68" s="238" t="s">
        <v>555</v>
      </c>
    </row>
    <row r="69" spans="1:16" s="38" customFormat="1" ht="97.2">
      <c r="A69" s="509"/>
      <c r="B69" s="180" t="s">
        <v>24</v>
      </c>
      <c r="C69" s="181">
        <v>28</v>
      </c>
      <c r="D69" s="182" t="s">
        <v>556</v>
      </c>
      <c r="E69" s="250"/>
      <c r="F69" s="251">
        <v>10</v>
      </c>
      <c r="G69" s="238"/>
      <c r="I69" s="238" t="s">
        <v>557</v>
      </c>
      <c r="J69" s="238" t="s">
        <v>558</v>
      </c>
      <c r="K69" s="238" t="s">
        <v>559</v>
      </c>
    </row>
    <row r="70" spans="1:16" s="199" customFormat="1" ht="33" customHeight="1">
      <c r="A70" s="510" t="s">
        <v>53</v>
      </c>
      <c r="B70" s="512" t="s">
        <v>164</v>
      </c>
      <c r="C70" s="385"/>
      <c r="D70" s="385"/>
      <c r="E70" s="513"/>
      <c r="F70" s="198" t="s">
        <v>55</v>
      </c>
      <c r="G70" s="498"/>
      <c r="H70" s="498"/>
      <c r="I70" s="498"/>
      <c r="J70" s="498"/>
      <c r="K70" s="499"/>
    </row>
    <row r="71" spans="1:16" s="199" customFormat="1" ht="15.9">
      <c r="A71" s="511"/>
      <c r="B71" s="514"/>
      <c r="C71" s="515"/>
      <c r="D71" s="515"/>
      <c r="E71" s="516"/>
      <c r="F71" s="200">
        <f>SUM(F72:F88)</f>
        <v>145</v>
      </c>
      <c r="G71" s="500"/>
      <c r="H71" s="500"/>
      <c r="I71" s="500"/>
      <c r="J71" s="500"/>
      <c r="K71" s="501"/>
    </row>
    <row r="72" spans="1:16" s="38" customFormat="1" ht="113.4">
      <c r="A72" s="505" t="s">
        <v>165</v>
      </c>
      <c r="B72" s="517" t="s">
        <v>24</v>
      </c>
      <c r="C72" s="517">
        <v>29</v>
      </c>
      <c r="D72" s="201" t="s">
        <v>324</v>
      </c>
      <c r="E72" s="156"/>
      <c r="F72" s="158">
        <v>5</v>
      </c>
      <c r="G72" s="247"/>
      <c r="H72" s="247"/>
      <c r="I72" s="244" t="s">
        <v>325</v>
      </c>
      <c r="J72" s="244" t="s">
        <v>326</v>
      </c>
      <c r="K72" s="244" t="s">
        <v>327</v>
      </c>
    </row>
    <row r="73" spans="1:16" s="38" customFormat="1" ht="178.2">
      <c r="A73" s="505"/>
      <c r="B73" s="518"/>
      <c r="C73" s="518"/>
      <c r="D73" s="202" t="s">
        <v>328</v>
      </c>
      <c r="E73" s="163"/>
      <c r="F73" s="175">
        <v>5</v>
      </c>
      <c r="G73" s="246"/>
      <c r="H73" s="246"/>
      <c r="I73" s="230" t="s">
        <v>329</v>
      </c>
      <c r="J73" s="230" t="s">
        <v>330</v>
      </c>
      <c r="K73" s="230" t="s">
        <v>331</v>
      </c>
    </row>
    <row r="74" spans="1:16" s="38" customFormat="1" ht="113.4">
      <c r="A74" s="506"/>
      <c r="B74" s="180" t="s">
        <v>24</v>
      </c>
      <c r="C74" s="181">
        <v>30</v>
      </c>
      <c r="D74" s="182" t="s">
        <v>57</v>
      </c>
      <c r="E74" s="180"/>
      <c r="F74" s="183">
        <v>10</v>
      </c>
      <c r="G74" s="245"/>
      <c r="H74" s="246"/>
      <c r="I74" s="238" t="s">
        <v>332</v>
      </c>
      <c r="J74" s="238" t="s">
        <v>333</v>
      </c>
      <c r="K74" s="238" t="s">
        <v>334</v>
      </c>
    </row>
    <row r="75" spans="1:16" s="38" customFormat="1" ht="129.6">
      <c r="A75" s="506"/>
      <c r="B75" s="517" t="s">
        <v>24</v>
      </c>
      <c r="C75" s="517">
        <v>31</v>
      </c>
      <c r="D75" s="477" t="s">
        <v>335</v>
      </c>
      <c r="E75" s="156"/>
      <c r="F75" s="158">
        <v>5</v>
      </c>
      <c r="G75" s="247"/>
      <c r="H75" s="247"/>
      <c r="I75" s="244" t="s">
        <v>336</v>
      </c>
      <c r="J75" s="244" t="s">
        <v>337</v>
      </c>
      <c r="K75" s="244" t="s">
        <v>338</v>
      </c>
    </row>
    <row r="76" spans="1:16" s="38" customFormat="1" ht="162">
      <c r="A76" s="506"/>
      <c r="B76" s="518"/>
      <c r="C76" s="518"/>
      <c r="D76" s="478"/>
      <c r="E76" s="163"/>
      <c r="F76" s="175">
        <v>5</v>
      </c>
      <c r="G76" s="246"/>
      <c r="H76" s="246"/>
      <c r="I76" s="230" t="s">
        <v>339</v>
      </c>
      <c r="J76" s="230" t="s">
        <v>340</v>
      </c>
      <c r="K76" s="230" t="s">
        <v>341</v>
      </c>
    </row>
    <row r="77" spans="1:16" s="38" customFormat="1" ht="113.4">
      <c r="A77" s="506"/>
      <c r="B77" s="460" t="s">
        <v>24</v>
      </c>
      <c r="C77" s="460">
        <v>32</v>
      </c>
      <c r="D77" s="477" t="s">
        <v>342</v>
      </c>
      <c r="E77" s="156"/>
      <c r="F77" s="158"/>
      <c r="G77" s="247"/>
      <c r="H77" s="247"/>
      <c r="I77" s="244" t="s">
        <v>343</v>
      </c>
      <c r="J77" s="244" t="s">
        <v>344</v>
      </c>
      <c r="K77" s="244" t="s">
        <v>345</v>
      </c>
    </row>
    <row r="78" spans="1:16" s="38" customFormat="1" ht="113.4">
      <c r="A78" s="506"/>
      <c r="B78" s="460"/>
      <c r="C78" s="460"/>
      <c r="D78" s="478"/>
      <c r="E78" s="163"/>
      <c r="F78" s="175">
        <v>10</v>
      </c>
      <c r="G78" s="246"/>
      <c r="H78" s="246"/>
      <c r="I78" s="230" t="s">
        <v>346</v>
      </c>
      <c r="J78" s="230" t="s">
        <v>347</v>
      </c>
      <c r="K78" s="230" t="s">
        <v>348</v>
      </c>
    </row>
    <row r="79" spans="1:16" s="38" customFormat="1" ht="145.80000000000001">
      <c r="A79" s="506"/>
      <c r="B79" s="180" t="s">
        <v>24</v>
      </c>
      <c r="C79" s="181">
        <v>33</v>
      </c>
      <c r="D79" s="182" t="s">
        <v>60</v>
      </c>
      <c r="E79" s="180"/>
      <c r="F79" s="183">
        <v>5</v>
      </c>
      <c r="G79" s="245"/>
      <c r="H79" s="246"/>
      <c r="I79" s="238" t="s">
        <v>349</v>
      </c>
      <c r="J79" s="238" t="s">
        <v>350</v>
      </c>
      <c r="K79" s="238" t="s">
        <v>351</v>
      </c>
    </row>
    <row r="80" spans="1:16" s="38" customFormat="1" ht="48.6">
      <c r="A80" s="506"/>
      <c r="B80" s="180" t="s">
        <v>24</v>
      </c>
      <c r="C80" s="181">
        <v>34</v>
      </c>
      <c r="D80" s="182" t="s">
        <v>61</v>
      </c>
      <c r="E80" s="180"/>
      <c r="F80" s="183">
        <v>5</v>
      </c>
      <c r="G80" s="519" t="s">
        <v>352</v>
      </c>
      <c r="H80" s="520"/>
      <c r="I80" s="520"/>
      <c r="J80" s="520"/>
      <c r="K80" s="520"/>
    </row>
    <row r="81" spans="1:11" s="38" customFormat="1" ht="64.8">
      <c r="A81" s="505" t="s">
        <v>168</v>
      </c>
      <c r="B81" s="180" t="s">
        <v>24</v>
      </c>
      <c r="C81" s="181">
        <v>35</v>
      </c>
      <c r="D81" s="182" t="s">
        <v>62</v>
      </c>
      <c r="E81" s="180"/>
      <c r="F81" s="183">
        <v>10</v>
      </c>
      <c r="G81" s="240" t="s">
        <v>353</v>
      </c>
      <c r="H81" s="246"/>
      <c r="I81" s="238" t="s">
        <v>354</v>
      </c>
      <c r="J81" s="238" t="s">
        <v>355</v>
      </c>
      <c r="K81" s="238" t="s">
        <v>356</v>
      </c>
    </row>
    <row r="82" spans="1:11" s="38" customFormat="1" ht="226.5" customHeight="1">
      <c r="A82" s="506"/>
      <c r="B82" s="180" t="s">
        <v>24</v>
      </c>
      <c r="C82" s="181">
        <v>36</v>
      </c>
      <c r="D82" s="182" t="s">
        <v>63</v>
      </c>
      <c r="E82" s="180"/>
      <c r="F82" s="183">
        <v>10</v>
      </c>
      <c r="G82" s="245"/>
      <c r="H82" s="238" t="s">
        <v>357</v>
      </c>
      <c r="I82" s="238" t="s">
        <v>358</v>
      </c>
      <c r="J82" s="238" t="s">
        <v>359</v>
      </c>
      <c r="K82" s="238" t="s">
        <v>360</v>
      </c>
    </row>
    <row r="83" spans="1:11" s="38" customFormat="1" ht="97.2">
      <c r="A83" s="506"/>
      <c r="B83" s="180" t="s">
        <v>24</v>
      </c>
      <c r="C83" s="181">
        <v>37</v>
      </c>
      <c r="D83" s="182" t="s">
        <v>64</v>
      </c>
      <c r="E83" s="180"/>
      <c r="F83" s="183">
        <v>10</v>
      </c>
      <c r="G83" s="248" t="s">
        <v>361</v>
      </c>
      <c r="H83" s="238" t="s">
        <v>362</v>
      </c>
      <c r="I83" s="238" t="s">
        <v>363</v>
      </c>
      <c r="J83" s="238" t="s">
        <v>364</v>
      </c>
      <c r="K83" s="238" t="s">
        <v>365</v>
      </c>
    </row>
    <row r="84" spans="1:11" s="38" customFormat="1" ht="129.6">
      <c r="A84" s="506"/>
      <c r="B84" s="180" t="s">
        <v>24</v>
      </c>
      <c r="C84" s="181">
        <v>38</v>
      </c>
      <c r="D84" s="182" t="s">
        <v>523</v>
      </c>
      <c r="E84" s="180"/>
      <c r="F84" s="183">
        <v>15</v>
      </c>
      <c r="G84" s="248" t="s">
        <v>366</v>
      </c>
      <c r="H84" s="238" t="s">
        <v>367</v>
      </c>
      <c r="I84" s="238" t="s">
        <v>368</v>
      </c>
      <c r="J84" s="238" t="s">
        <v>369</v>
      </c>
      <c r="K84" s="238" t="s">
        <v>370</v>
      </c>
    </row>
    <row r="85" spans="1:11" s="38" customFormat="1" ht="129.6">
      <c r="A85" s="506"/>
      <c r="B85" s="180" t="s">
        <v>24</v>
      </c>
      <c r="C85" s="181">
        <v>39</v>
      </c>
      <c r="D85" s="182" t="s">
        <v>170</v>
      </c>
      <c r="E85" s="180"/>
      <c r="F85" s="183">
        <v>20</v>
      </c>
      <c r="G85" s="240" t="s">
        <v>371</v>
      </c>
      <c r="H85" s="238" t="s">
        <v>372</v>
      </c>
      <c r="I85" s="238" t="s">
        <v>373</v>
      </c>
      <c r="J85" s="238" t="s">
        <v>374</v>
      </c>
      <c r="K85" s="238" t="s">
        <v>375</v>
      </c>
    </row>
    <row r="86" spans="1:11" s="38" customFormat="1" ht="113.4">
      <c r="A86" s="505" t="s">
        <v>171</v>
      </c>
      <c r="B86" s="180" t="s">
        <v>24</v>
      </c>
      <c r="C86" s="181">
        <v>40</v>
      </c>
      <c r="D86" s="182" t="s">
        <v>67</v>
      </c>
      <c r="E86" s="180"/>
      <c r="F86" s="183">
        <v>10</v>
      </c>
      <c r="G86" s="240" t="s">
        <v>376</v>
      </c>
      <c r="H86" s="238" t="s">
        <v>377</v>
      </c>
      <c r="I86" s="238" t="s">
        <v>378</v>
      </c>
      <c r="J86" s="238" t="s">
        <v>379</v>
      </c>
      <c r="K86" s="238" t="s">
        <v>380</v>
      </c>
    </row>
    <row r="87" spans="1:11" s="38" customFormat="1" ht="129.6">
      <c r="A87" s="506"/>
      <c r="B87" s="180" t="s">
        <v>24</v>
      </c>
      <c r="C87" s="181">
        <v>41</v>
      </c>
      <c r="D87" s="182" t="s">
        <v>172</v>
      </c>
      <c r="E87" s="180"/>
      <c r="F87" s="183">
        <v>10</v>
      </c>
      <c r="G87" s="240" t="s">
        <v>381</v>
      </c>
      <c r="H87" s="238" t="s">
        <v>382</v>
      </c>
      <c r="I87" s="238" t="s">
        <v>383</v>
      </c>
      <c r="J87" s="238" t="s">
        <v>384</v>
      </c>
      <c r="K87" s="238" t="s">
        <v>385</v>
      </c>
    </row>
    <row r="88" spans="1:11" s="38" customFormat="1" ht="145.80000000000001">
      <c r="A88" s="506"/>
      <c r="B88" s="180" t="s">
        <v>24</v>
      </c>
      <c r="C88" s="181">
        <v>42</v>
      </c>
      <c r="D88" s="182" t="s">
        <v>69</v>
      </c>
      <c r="E88" s="180"/>
      <c r="F88" s="183">
        <v>10</v>
      </c>
      <c r="G88" s="240" t="s">
        <v>386</v>
      </c>
      <c r="H88" s="238" t="s">
        <v>387</v>
      </c>
      <c r="I88" s="238" t="s">
        <v>388</v>
      </c>
      <c r="J88" s="238" t="s">
        <v>389</v>
      </c>
      <c r="K88" s="238" t="s">
        <v>390</v>
      </c>
    </row>
    <row r="89" spans="1:11" s="204" customFormat="1" ht="31.8">
      <c r="A89" s="463" t="s">
        <v>70</v>
      </c>
      <c r="B89" s="464" t="s">
        <v>71</v>
      </c>
      <c r="C89" s="465"/>
      <c r="D89" s="465"/>
      <c r="E89" s="466"/>
      <c r="F89" s="203" t="s">
        <v>55</v>
      </c>
      <c r="G89" s="498"/>
      <c r="H89" s="498"/>
      <c r="I89" s="498"/>
      <c r="J89" s="498"/>
      <c r="K89" s="499"/>
    </row>
    <row r="90" spans="1:11" s="204" customFormat="1" ht="15.9">
      <c r="A90" s="463"/>
      <c r="B90" s="467"/>
      <c r="C90" s="468"/>
      <c r="D90" s="468"/>
      <c r="E90" s="469"/>
      <c r="F90" s="205">
        <f>SUM(F91:F103)</f>
        <v>100</v>
      </c>
      <c r="G90" s="500"/>
      <c r="H90" s="500"/>
      <c r="I90" s="500"/>
      <c r="J90" s="500"/>
      <c r="K90" s="501"/>
    </row>
    <row r="91" spans="1:11" s="38" customFormat="1" ht="64.8">
      <c r="A91" s="459" t="s">
        <v>173</v>
      </c>
      <c r="B91" s="180" t="s">
        <v>24</v>
      </c>
      <c r="C91" s="181">
        <v>43</v>
      </c>
      <c r="D91" s="182" t="s">
        <v>174</v>
      </c>
      <c r="E91" s="180"/>
      <c r="F91" s="183">
        <v>5</v>
      </c>
      <c r="G91" s="240" t="s">
        <v>391</v>
      </c>
      <c r="H91" s="238" t="s">
        <v>392</v>
      </c>
      <c r="I91" s="238" t="s">
        <v>393</v>
      </c>
      <c r="J91" s="238" t="s">
        <v>394</v>
      </c>
      <c r="K91" s="238" t="s">
        <v>395</v>
      </c>
    </row>
    <row r="92" spans="1:11" s="38" customFormat="1" ht="97.2">
      <c r="A92" s="502"/>
      <c r="B92" s="180" t="s">
        <v>24</v>
      </c>
      <c r="C92" s="181">
        <v>44</v>
      </c>
      <c r="D92" s="182" t="s">
        <v>175</v>
      </c>
      <c r="E92" s="180"/>
      <c r="F92" s="183">
        <v>5</v>
      </c>
      <c r="G92" s="245"/>
      <c r="H92" s="246"/>
      <c r="I92" s="238" t="s">
        <v>396</v>
      </c>
      <c r="J92" s="238" t="s">
        <v>397</v>
      </c>
      <c r="K92" s="238" t="s">
        <v>398</v>
      </c>
    </row>
    <row r="93" spans="1:11" s="38" customFormat="1" ht="48.6">
      <c r="A93" s="502"/>
      <c r="B93" s="180" t="s">
        <v>24</v>
      </c>
      <c r="C93" s="181">
        <v>45</v>
      </c>
      <c r="D93" s="182" t="s">
        <v>176</v>
      </c>
      <c r="E93" s="180"/>
      <c r="F93" s="183">
        <v>10</v>
      </c>
      <c r="G93" s="245"/>
      <c r="H93" s="246"/>
      <c r="I93" s="238" t="s">
        <v>399</v>
      </c>
      <c r="J93" s="238" t="s">
        <v>400</v>
      </c>
      <c r="K93" s="238" t="s">
        <v>401</v>
      </c>
    </row>
    <row r="94" spans="1:11" s="38" customFormat="1" ht="64.8">
      <c r="A94" s="502"/>
      <c r="B94" s="180" t="s">
        <v>24</v>
      </c>
      <c r="C94" s="181">
        <v>46</v>
      </c>
      <c r="D94" s="182" t="s">
        <v>73</v>
      </c>
      <c r="E94" s="180"/>
      <c r="F94" s="183">
        <v>10</v>
      </c>
      <c r="G94" s="245"/>
      <c r="H94" s="246"/>
      <c r="I94" s="238" t="s">
        <v>402</v>
      </c>
      <c r="J94" s="238" t="s">
        <v>403</v>
      </c>
      <c r="K94" s="238" t="s">
        <v>404</v>
      </c>
    </row>
    <row r="95" spans="1:11" s="38" customFormat="1" ht="64.8">
      <c r="A95" s="459" t="s">
        <v>177</v>
      </c>
      <c r="B95" s="180" t="s">
        <v>24</v>
      </c>
      <c r="C95" s="181">
        <v>47</v>
      </c>
      <c r="D95" s="182" t="s">
        <v>74</v>
      </c>
      <c r="E95" s="180"/>
      <c r="F95" s="183">
        <v>10</v>
      </c>
      <c r="G95" s="245"/>
      <c r="H95" s="246"/>
      <c r="I95" s="246"/>
      <c r="J95" s="238" t="s">
        <v>405</v>
      </c>
      <c r="K95" s="238" t="s">
        <v>406</v>
      </c>
    </row>
    <row r="96" spans="1:11" s="38" customFormat="1" ht="64.8">
      <c r="A96" s="502"/>
      <c r="B96" s="180" t="s">
        <v>24</v>
      </c>
      <c r="C96" s="181">
        <v>48</v>
      </c>
      <c r="D96" s="182" t="s">
        <v>75</v>
      </c>
      <c r="E96" s="180"/>
      <c r="F96" s="183">
        <v>10</v>
      </c>
      <c r="G96" s="245"/>
      <c r="H96" s="246"/>
      <c r="I96" s="246"/>
      <c r="J96" s="238" t="s">
        <v>407</v>
      </c>
      <c r="K96" s="238" t="s">
        <v>408</v>
      </c>
    </row>
    <row r="97" spans="1:11" s="38" customFormat="1" ht="64.8">
      <c r="A97" s="502"/>
      <c r="B97" s="180" t="s">
        <v>24</v>
      </c>
      <c r="C97" s="181">
        <v>49</v>
      </c>
      <c r="D97" s="182" t="s">
        <v>76</v>
      </c>
      <c r="E97" s="180"/>
      <c r="F97" s="183">
        <v>10</v>
      </c>
      <c r="G97" s="245"/>
      <c r="H97" s="246"/>
      <c r="I97" s="246"/>
      <c r="J97" s="238" t="s">
        <v>409</v>
      </c>
      <c r="K97" s="238" t="s">
        <v>410</v>
      </c>
    </row>
    <row r="98" spans="1:11" s="38" customFormat="1" ht="64.8">
      <c r="A98" s="502"/>
      <c r="B98" s="180" t="s">
        <v>24</v>
      </c>
      <c r="C98" s="181">
        <v>50</v>
      </c>
      <c r="D98" s="182" t="s">
        <v>77</v>
      </c>
      <c r="E98" s="180"/>
      <c r="F98" s="183">
        <v>10</v>
      </c>
      <c r="G98" s="245"/>
      <c r="H98" s="246"/>
      <c r="I98" s="246"/>
      <c r="J98" s="238" t="s">
        <v>411</v>
      </c>
      <c r="K98" s="238" t="s">
        <v>412</v>
      </c>
    </row>
    <row r="99" spans="1:11" s="38" customFormat="1" ht="81">
      <c r="A99" s="459" t="s">
        <v>178</v>
      </c>
      <c r="B99" s="180" t="s">
        <v>24</v>
      </c>
      <c r="C99" s="181">
        <v>51</v>
      </c>
      <c r="D99" s="182" t="s">
        <v>179</v>
      </c>
      <c r="E99" s="180"/>
      <c r="F99" s="183">
        <v>5</v>
      </c>
      <c r="G99" s="245"/>
      <c r="H99" s="246"/>
      <c r="I99" s="238" t="s">
        <v>413</v>
      </c>
      <c r="J99" s="238" t="s">
        <v>414</v>
      </c>
      <c r="K99" s="238" t="s">
        <v>415</v>
      </c>
    </row>
    <row r="100" spans="1:11" s="38" customFormat="1" ht="32.4">
      <c r="A100" s="459"/>
      <c r="B100" s="180" t="s">
        <v>24</v>
      </c>
      <c r="C100" s="181">
        <v>52</v>
      </c>
      <c r="D100" s="182" t="s">
        <v>78</v>
      </c>
      <c r="E100" s="180"/>
      <c r="F100" s="183">
        <v>5</v>
      </c>
      <c r="G100" s="503" t="s">
        <v>416</v>
      </c>
      <c r="H100" s="504"/>
      <c r="I100" s="504"/>
      <c r="J100" s="504"/>
      <c r="K100" s="504"/>
    </row>
    <row r="101" spans="1:11" s="38" customFormat="1" ht="64.8">
      <c r="A101" s="459"/>
      <c r="B101" s="180" t="s">
        <v>24</v>
      </c>
      <c r="C101" s="181">
        <v>53</v>
      </c>
      <c r="D101" s="182" t="s">
        <v>79</v>
      </c>
      <c r="E101" s="180"/>
      <c r="F101" s="183">
        <v>10</v>
      </c>
      <c r="G101" s="245"/>
      <c r="H101" s="246"/>
      <c r="I101" s="241" t="s">
        <v>417</v>
      </c>
      <c r="J101" s="238" t="s">
        <v>418</v>
      </c>
      <c r="K101" s="238" t="s">
        <v>419</v>
      </c>
    </row>
    <row r="102" spans="1:11" s="38" customFormat="1" ht="81">
      <c r="A102" s="459"/>
      <c r="B102" s="180" t="s">
        <v>24</v>
      </c>
      <c r="C102" s="181">
        <v>54</v>
      </c>
      <c r="D102" s="182" t="s">
        <v>80</v>
      </c>
      <c r="E102" s="180"/>
      <c r="F102" s="183">
        <v>5</v>
      </c>
      <c r="G102" s="245"/>
      <c r="H102" s="246"/>
      <c r="I102" s="238" t="s">
        <v>420</v>
      </c>
      <c r="J102" s="238" t="s">
        <v>421</v>
      </c>
      <c r="K102" s="238" t="s">
        <v>422</v>
      </c>
    </row>
    <row r="103" spans="1:11" s="38" customFormat="1" ht="97.2">
      <c r="A103" s="459"/>
      <c r="B103" s="180" t="s">
        <v>24</v>
      </c>
      <c r="C103" s="181">
        <v>55</v>
      </c>
      <c r="D103" s="182" t="s">
        <v>81</v>
      </c>
      <c r="E103" s="180"/>
      <c r="F103" s="183">
        <v>5</v>
      </c>
      <c r="G103" s="245"/>
      <c r="H103" s="246"/>
      <c r="I103" s="246"/>
      <c r="J103" s="238" t="s">
        <v>423</v>
      </c>
      <c r="K103" s="238" t="s">
        <v>424</v>
      </c>
    </row>
    <row r="104" spans="1:11" s="199" customFormat="1" ht="31.8">
      <c r="A104" s="470" t="s">
        <v>82</v>
      </c>
      <c r="B104" s="472" t="s">
        <v>180</v>
      </c>
      <c r="C104" s="377"/>
      <c r="D104" s="377"/>
      <c r="E104" s="473"/>
      <c r="F104" s="206" t="s">
        <v>55</v>
      </c>
      <c r="G104" s="498"/>
      <c r="H104" s="498"/>
      <c r="I104" s="498"/>
      <c r="J104" s="498"/>
      <c r="K104" s="499"/>
    </row>
    <row r="105" spans="1:11" s="199" customFormat="1" ht="17.25" customHeight="1">
      <c r="A105" s="471"/>
      <c r="B105" s="474"/>
      <c r="C105" s="475"/>
      <c r="D105" s="475"/>
      <c r="E105" s="476"/>
      <c r="F105" s="207">
        <f>SUM(F106:F115,F122)</f>
        <v>150</v>
      </c>
      <c r="G105" s="500"/>
      <c r="H105" s="500"/>
      <c r="I105" s="500"/>
      <c r="J105" s="500"/>
      <c r="K105" s="501"/>
    </row>
    <row r="106" spans="1:11" s="38" customFormat="1" ht="64.8">
      <c r="A106" s="459" t="s">
        <v>181</v>
      </c>
      <c r="B106" s="180" t="s">
        <v>24</v>
      </c>
      <c r="C106" s="181">
        <v>56</v>
      </c>
      <c r="D106" s="182" t="s">
        <v>84</v>
      </c>
      <c r="E106" s="180"/>
      <c r="F106" s="183">
        <v>10</v>
      </c>
      <c r="G106" s="245"/>
      <c r="H106" s="246"/>
      <c r="I106" s="238" t="s">
        <v>425</v>
      </c>
      <c r="J106" s="238" t="s">
        <v>426</v>
      </c>
      <c r="K106" s="238" t="s">
        <v>427</v>
      </c>
    </row>
    <row r="107" spans="1:11" s="38" customFormat="1" ht="97.2">
      <c r="A107" s="502"/>
      <c r="B107" s="180" t="s">
        <v>24</v>
      </c>
      <c r="C107" s="181">
        <v>57</v>
      </c>
      <c r="D107" s="182" t="s">
        <v>85</v>
      </c>
      <c r="E107" s="180"/>
      <c r="F107" s="183">
        <v>10</v>
      </c>
      <c r="G107" s="245"/>
      <c r="H107" s="246"/>
      <c r="I107" s="238" t="s">
        <v>428</v>
      </c>
      <c r="J107" s="238" t="s">
        <v>429</v>
      </c>
      <c r="K107" s="238" t="s">
        <v>430</v>
      </c>
    </row>
    <row r="108" spans="1:11" s="38" customFormat="1" ht="97.2">
      <c r="A108" s="502"/>
      <c r="B108" s="180" t="s">
        <v>24</v>
      </c>
      <c r="C108" s="181">
        <v>58</v>
      </c>
      <c r="D108" s="182" t="s">
        <v>86</v>
      </c>
      <c r="E108" s="180"/>
      <c r="F108" s="183">
        <v>10</v>
      </c>
      <c r="G108" s="245"/>
      <c r="H108" s="246"/>
      <c r="I108" s="246"/>
      <c r="J108" s="246"/>
      <c r="K108" s="238" t="s">
        <v>431</v>
      </c>
    </row>
    <row r="109" spans="1:11" s="38" customFormat="1" ht="48.6">
      <c r="A109" s="502"/>
      <c r="B109" s="180" t="s">
        <v>24</v>
      </c>
      <c r="C109" s="181">
        <v>59</v>
      </c>
      <c r="D109" s="182" t="s">
        <v>87</v>
      </c>
      <c r="E109" s="180"/>
      <c r="F109" s="183">
        <v>10</v>
      </c>
      <c r="G109" s="245"/>
      <c r="H109" s="238" t="s">
        <v>432</v>
      </c>
      <c r="I109" s="238" t="s">
        <v>433</v>
      </c>
      <c r="J109" s="238" t="s">
        <v>434</v>
      </c>
      <c r="K109" s="238" t="s">
        <v>435</v>
      </c>
    </row>
    <row r="110" spans="1:11" s="38" customFormat="1" ht="99" customHeight="1">
      <c r="A110" s="479" t="s">
        <v>468</v>
      </c>
      <c r="B110" s="180" t="s">
        <v>24</v>
      </c>
      <c r="C110" s="181">
        <v>60</v>
      </c>
      <c r="D110" s="252" t="s">
        <v>183</v>
      </c>
      <c r="E110" s="180"/>
      <c r="F110" s="183">
        <v>10</v>
      </c>
      <c r="G110" s="256"/>
      <c r="H110" s="256"/>
      <c r="I110" s="238" t="s">
        <v>513</v>
      </c>
      <c r="J110" s="238" t="s">
        <v>436</v>
      </c>
      <c r="K110" s="238" t="s">
        <v>437</v>
      </c>
    </row>
    <row r="111" spans="1:11" s="38" customFormat="1" ht="48.6">
      <c r="A111" s="495"/>
      <c r="B111" s="180" t="s">
        <v>24</v>
      </c>
      <c r="C111" s="181">
        <v>61</v>
      </c>
      <c r="D111" s="252" t="s">
        <v>88</v>
      </c>
      <c r="E111" s="180"/>
      <c r="F111" s="183">
        <v>10</v>
      </c>
      <c r="G111" s="256"/>
      <c r="H111" s="256"/>
      <c r="I111" s="256"/>
      <c r="J111" s="246"/>
      <c r="K111" s="238" t="s">
        <v>438</v>
      </c>
    </row>
    <row r="112" spans="1:11" s="38" customFormat="1" ht="64.8">
      <c r="A112" s="496"/>
      <c r="B112" s="180" t="s">
        <v>24</v>
      </c>
      <c r="C112" s="181">
        <v>62</v>
      </c>
      <c r="D112" s="252" t="s">
        <v>89</v>
      </c>
      <c r="E112" s="180"/>
      <c r="F112" s="183">
        <v>10</v>
      </c>
      <c r="G112" s="256"/>
      <c r="H112" s="256"/>
      <c r="I112" s="238" t="s">
        <v>439</v>
      </c>
      <c r="J112" s="238" t="s">
        <v>440</v>
      </c>
      <c r="K112" s="238" t="s">
        <v>441</v>
      </c>
    </row>
    <row r="113" spans="1:11" s="38" customFormat="1" ht="33" customHeight="1">
      <c r="A113" s="479" t="s">
        <v>469</v>
      </c>
      <c r="B113" s="180" t="s">
        <v>24</v>
      </c>
      <c r="C113" s="181">
        <v>63</v>
      </c>
      <c r="D113" s="232" t="s">
        <v>90</v>
      </c>
      <c r="E113" s="180"/>
      <c r="F113" s="183">
        <v>10</v>
      </c>
      <c r="G113" s="245"/>
      <c r="H113" s="246"/>
      <c r="I113" s="497" t="s">
        <v>514</v>
      </c>
      <c r="J113" s="497" t="s">
        <v>515</v>
      </c>
      <c r="K113" s="497" t="s">
        <v>516</v>
      </c>
    </row>
    <row r="114" spans="1:11" s="38" customFormat="1" ht="48.6">
      <c r="A114" s="495"/>
      <c r="B114" s="180" t="s">
        <v>24</v>
      </c>
      <c r="C114" s="181">
        <v>64</v>
      </c>
      <c r="D114" s="233" t="s">
        <v>91</v>
      </c>
      <c r="E114" s="180"/>
      <c r="F114" s="183">
        <v>10</v>
      </c>
      <c r="G114" s="245"/>
      <c r="H114" s="246"/>
      <c r="I114" s="497"/>
      <c r="J114" s="497"/>
      <c r="K114" s="497"/>
    </row>
    <row r="115" spans="1:11" s="38" customFormat="1" ht="64.8">
      <c r="A115" s="496"/>
      <c r="B115" s="180" t="s">
        <v>24</v>
      </c>
      <c r="C115" s="181">
        <v>65</v>
      </c>
      <c r="D115" s="234" t="s">
        <v>186</v>
      </c>
      <c r="E115" s="180"/>
      <c r="F115" s="183">
        <v>10</v>
      </c>
      <c r="G115" s="245"/>
      <c r="H115" s="246"/>
      <c r="I115" s="238" t="s">
        <v>517</v>
      </c>
      <c r="J115" s="238" t="s">
        <v>442</v>
      </c>
      <c r="K115" s="238" t="s">
        <v>518</v>
      </c>
    </row>
    <row r="116" spans="1:11" s="38" customFormat="1" ht="25" customHeight="1">
      <c r="A116" s="459" t="s">
        <v>443</v>
      </c>
      <c r="B116" s="460" t="s">
        <v>24</v>
      </c>
      <c r="C116" s="461">
        <v>66</v>
      </c>
      <c r="D116" s="182" t="s">
        <v>92</v>
      </c>
      <c r="E116" s="462" t="s">
        <v>188</v>
      </c>
      <c r="F116" s="183">
        <v>25</v>
      </c>
      <c r="G116" s="486" t="s">
        <v>444</v>
      </c>
      <c r="H116" s="487"/>
      <c r="I116" s="487"/>
      <c r="J116" s="487"/>
      <c r="K116" s="488"/>
    </row>
    <row r="117" spans="1:11" s="38" customFormat="1" ht="25" customHeight="1">
      <c r="A117" s="459"/>
      <c r="B117" s="460"/>
      <c r="C117" s="461"/>
      <c r="D117" s="182" t="s">
        <v>94</v>
      </c>
      <c r="E117" s="462"/>
      <c r="F117" s="183">
        <v>10</v>
      </c>
      <c r="G117" s="489"/>
      <c r="H117" s="490"/>
      <c r="I117" s="490"/>
      <c r="J117" s="490"/>
      <c r="K117" s="491"/>
    </row>
    <row r="118" spans="1:11" s="38" customFormat="1" ht="25" customHeight="1">
      <c r="A118" s="459"/>
      <c r="B118" s="460"/>
      <c r="C118" s="461"/>
      <c r="D118" s="182" t="s">
        <v>92</v>
      </c>
      <c r="E118" s="462" t="s">
        <v>189</v>
      </c>
      <c r="F118" s="183">
        <v>35</v>
      </c>
      <c r="G118" s="489"/>
      <c r="H118" s="490"/>
      <c r="I118" s="490"/>
      <c r="J118" s="490"/>
      <c r="K118" s="491"/>
    </row>
    <row r="119" spans="1:11" s="38" customFormat="1" ht="25" customHeight="1">
      <c r="A119" s="459"/>
      <c r="B119" s="460"/>
      <c r="C119" s="461"/>
      <c r="D119" s="182" t="s">
        <v>96</v>
      </c>
      <c r="E119" s="462"/>
      <c r="F119" s="183">
        <v>15</v>
      </c>
      <c r="G119" s="489"/>
      <c r="H119" s="490"/>
      <c r="I119" s="490"/>
      <c r="J119" s="490"/>
      <c r="K119" s="491"/>
    </row>
    <row r="120" spans="1:11" s="38" customFormat="1" ht="25" customHeight="1">
      <c r="A120" s="459"/>
      <c r="B120" s="460"/>
      <c r="C120" s="461"/>
      <c r="D120" s="182" t="s">
        <v>92</v>
      </c>
      <c r="E120" s="462" t="s">
        <v>97</v>
      </c>
      <c r="F120" s="183">
        <v>45</v>
      </c>
      <c r="G120" s="489"/>
      <c r="H120" s="490"/>
      <c r="I120" s="490"/>
      <c r="J120" s="490"/>
      <c r="K120" s="491"/>
    </row>
    <row r="121" spans="1:11" s="38" customFormat="1" ht="25" customHeight="1">
      <c r="A121" s="459"/>
      <c r="B121" s="460"/>
      <c r="C121" s="461"/>
      <c r="D121" s="182" t="s">
        <v>96</v>
      </c>
      <c r="E121" s="462"/>
      <c r="F121" s="183">
        <v>20</v>
      </c>
      <c r="G121" s="489"/>
      <c r="H121" s="490"/>
      <c r="I121" s="490"/>
      <c r="J121" s="490"/>
      <c r="K121" s="491"/>
    </row>
    <row r="122" spans="1:11" s="38" customFormat="1" ht="25" customHeight="1">
      <c r="A122" s="459"/>
      <c r="B122" s="460"/>
      <c r="C122" s="461"/>
      <c r="D122" s="182" t="s">
        <v>92</v>
      </c>
      <c r="E122" s="462" t="s">
        <v>98</v>
      </c>
      <c r="F122" s="208">
        <v>50</v>
      </c>
      <c r="G122" s="489"/>
      <c r="H122" s="490"/>
      <c r="I122" s="490"/>
      <c r="J122" s="490"/>
      <c r="K122" s="491"/>
    </row>
    <row r="123" spans="1:11" s="38" customFormat="1" ht="25" customHeight="1">
      <c r="A123" s="459"/>
      <c r="B123" s="460"/>
      <c r="C123" s="461"/>
      <c r="D123" s="182" t="s">
        <v>96</v>
      </c>
      <c r="E123" s="462"/>
      <c r="F123" s="183">
        <v>25</v>
      </c>
      <c r="G123" s="492"/>
      <c r="H123" s="493"/>
      <c r="I123" s="493"/>
      <c r="J123" s="493"/>
      <c r="K123" s="494"/>
    </row>
  </sheetData>
  <mergeCells count="92">
    <mergeCell ref="G16:G17"/>
    <mergeCell ref="D4:K4"/>
    <mergeCell ref="A14:A15"/>
    <mergeCell ref="B14:E15"/>
    <mergeCell ref="F14:K14"/>
    <mergeCell ref="F15:K15"/>
    <mergeCell ref="G29:K29"/>
    <mergeCell ref="G18:G20"/>
    <mergeCell ref="H18:H20"/>
    <mergeCell ref="J18:J20"/>
    <mergeCell ref="G21:G22"/>
    <mergeCell ref="H21:H22"/>
    <mergeCell ref="J21:J22"/>
    <mergeCell ref="A29:A30"/>
    <mergeCell ref="B29:E30"/>
    <mergeCell ref="A16:A28"/>
    <mergeCell ref="B16:B26"/>
    <mergeCell ref="C16:C26"/>
    <mergeCell ref="E16:E26"/>
    <mergeCell ref="C42:C44"/>
    <mergeCell ref="E42:E44"/>
    <mergeCell ref="B27:B28"/>
    <mergeCell ref="C27:C28"/>
    <mergeCell ref="E27:E28"/>
    <mergeCell ref="A31:A33"/>
    <mergeCell ref="A34:A36"/>
    <mergeCell ref="A37:A41"/>
    <mergeCell ref="A42:A44"/>
    <mergeCell ref="B42:B44"/>
    <mergeCell ref="A45:A47"/>
    <mergeCell ref="B45:B47"/>
    <mergeCell ref="C45:C47"/>
    <mergeCell ref="E45:E47"/>
    <mergeCell ref="A48:A50"/>
    <mergeCell ref="B48:B50"/>
    <mergeCell ref="C48:C50"/>
    <mergeCell ref="E48:E50"/>
    <mergeCell ref="G80:K80"/>
    <mergeCell ref="A81:A85"/>
    <mergeCell ref="A58:A62"/>
    <mergeCell ref="B58:B62"/>
    <mergeCell ref="C58:C62"/>
    <mergeCell ref="E58:E62"/>
    <mergeCell ref="A63:A65"/>
    <mergeCell ref="B63:B65"/>
    <mergeCell ref="C63:C65"/>
    <mergeCell ref="E63:E65"/>
    <mergeCell ref="G104:K105"/>
    <mergeCell ref="A106:A109"/>
    <mergeCell ref="A110:A112"/>
    <mergeCell ref="A86:A88"/>
    <mergeCell ref="A66:A69"/>
    <mergeCell ref="A70:A71"/>
    <mergeCell ref="B70:E71"/>
    <mergeCell ref="G70:K71"/>
    <mergeCell ref="A72:A80"/>
    <mergeCell ref="B72:B73"/>
    <mergeCell ref="C72:C73"/>
    <mergeCell ref="B75:B76"/>
    <mergeCell ref="C75:C76"/>
    <mergeCell ref="D75:D76"/>
    <mergeCell ref="B77:B78"/>
    <mergeCell ref="C77:C78"/>
    <mergeCell ref="G89:K90"/>
    <mergeCell ref="A91:A94"/>
    <mergeCell ref="A95:A98"/>
    <mergeCell ref="A99:A103"/>
    <mergeCell ref="G100:K100"/>
    <mergeCell ref="G116:K123"/>
    <mergeCell ref="E118:E119"/>
    <mergeCell ref="E120:E121"/>
    <mergeCell ref="E122:E123"/>
    <mergeCell ref="A113:A115"/>
    <mergeCell ref="I113:I114"/>
    <mergeCell ref="J113:J114"/>
    <mergeCell ref="K113:K114"/>
    <mergeCell ref="E51:E53"/>
    <mergeCell ref="C51:C53"/>
    <mergeCell ref="A116:A123"/>
    <mergeCell ref="B116:B123"/>
    <mergeCell ref="C116:C123"/>
    <mergeCell ref="E116:E117"/>
    <mergeCell ref="A89:A90"/>
    <mergeCell ref="B89:E90"/>
    <mergeCell ref="A104:A105"/>
    <mergeCell ref="B104:E105"/>
    <mergeCell ref="D77:D78"/>
    <mergeCell ref="A54:A57"/>
    <mergeCell ref="B54:B57"/>
    <mergeCell ref="C54:C57"/>
    <mergeCell ref="A51:A53"/>
    <mergeCell ref="B51:B53"/>
  </mergeCells>
  <pageMargins left="0.7" right="0.7" top="0.75" bottom="0.75" header="0.3" footer="0.3"/>
  <pageSetup scale="48" orientation="portrait" r:id="rId1"/>
  <colBreaks count="1" manualBreakCount="1">
    <brk id="11" max="1048575" man="1"/>
  </col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FFFF"/>
    <pageSetUpPr fitToPage="1"/>
  </sheetPr>
  <dimension ref="A1:N137"/>
  <sheetViews>
    <sheetView topLeftCell="A59" zoomScaleNormal="100" workbookViewId="0">
      <selection activeCell="D62" sqref="D62"/>
    </sheetView>
  </sheetViews>
  <sheetFormatPr defaultColWidth="8.83984375" defaultRowHeight="15.3"/>
  <cols>
    <col min="1" max="1" width="18" style="1" customWidth="1"/>
    <col min="2" max="2" width="10.68359375" style="2" customWidth="1"/>
    <col min="3" max="3" width="4.68359375" style="2" customWidth="1"/>
    <col min="4" max="4" width="57.26171875" style="3" customWidth="1"/>
    <col min="5" max="5" width="8.68359375" style="2" customWidth="1"/>
    <col min="6" max="6" width="9.41796875" style="4" customWidth="1"/>
    <col min="7" max="16384" width="8.83984375" style="5"/>
  </cols>
  <sheetData>
    <row r="1" spans="1:14" ht="9.6" customHeight="1"/>
    <row r="2" spans="1:14" ht="62.1" customHeight="1">
      <c r="A2" s="418" t="s">
        <v>446</v>
      </c>
      <c r="B2" s="419"/>
      <c r="C2" s="419"/>
      <c r="D2" s="419"/>
      <c r="E2" s="419"/>
      <c r="F2" s="419"/>
    </row>
    <row r="3" spans="1:14" ht="8.25" customHeight="1">
      <c r="A3" s="6"/>
      <c r="B3" s="7"/>
      <c r="C3" s="7"/>
      <c r="D3" s="7"/>
      <c r="E3" s="7"/>
      <c r="F3" s="7"/>
    </row>
    <row r="4" spans="1:14" ht="14.25" customHeight="1">
      <c r="A4" s="6"/>
      <c r="B4" s="7"/>
      <c r="C4" s="7"/>
      <c r="D4" s="7"/>
      <c r="E4" s="7"/>
      <c r="F4" s="7"/>
    </row>
    <row r="5" spans="1:14" ht="14.1" customHeight="1">
      <c r="A5" s="6"/>
      <c r="B5" s="7"/>
      <c r="C5" s="7"/>
      <c r="D5" s="7"/>
      <c r="E5" s="7"/>
      <c r="F5" s="7"/>
    </row>
    <row r="6" spans="1:14" ht="59.25" customHeight="1">
      <c r="A6" s="6"/>
      <c r="B6" s="7"/>
      <c r="C6" s="7"/>
      <c r="D6" s="7"/>
      <c r="E6" s="7"/>
      <c r="F6" s="7"/>
    </row>
    <row r="7" spans="1:14" ht="55.15" customHeight="1">
      <c r="A7" s="6"/>
      <c r="B7" s="7"/>
      <c r="C7" s="7"/>
      <c r="D7" s="7"/>
      <c r="E7" s="7"/>
      <c r="F7" s="7"/>
    </row>
    <row r="8" spans="1:14" ht="55.15" customHeight="1">
      <c r="A8" s="6"/>
      <c r="B8" s="7"/>
      <c r="C8" s="7"/>
      <c r="D8" s="7"/>
      <c r="E8" s="7"/>
      <c r="F8" s="7"/>
    </row>
    <row r="9" spans="1:14" ht="55.15" customHeight="1">
      <c r="A9" s="6"/>
      <c r="B9" s="7"/>
      <c r="C9" s="7"/>
      <c r="D9" s="7"/>
      <c r="E9" s="7"/>
      <c r="F9" s="7"/>
    </row>
    <row r="10" spans="1:14" ht="22.8">
      <c r="A10" s="6"/>
      <c r="B10" s="7"/>
      <c r="C10" s="7"/>
      <c r="D10" s="7"/>
      <c r="E10" s="7"/>
      <c r="F10" s="7"/>
    </row>
    <row r="11" spans="1:14" ht="13.5" customHeight="1">
      <c r="A11" s="6"/>
      <c r="B11" s="7"/>
      <c r="C11" s="7"/>
      <c r="D11" s="7"/>
      <c r="E11" s="7"/>
      <c r="F11" s="7"/>
    </row>
    <row r="12" spans="1:14" ht="16" customHeight="1">
      <c r="A12" s="6"/>
      <c r="B12" s="7"/>
      <c r="C12" s="7"/>
      <c r="D12" s="7"/>
      <c r="E12" s="7"/>
      <c r="F12" s="7"/>
    </row>
    <row r="13" spans="1:14" ht="50.1" customHeight="1">
      <c r="A13" s="8" t="s">
        <v>0</v>
      </c>
      <c r="B13" s="9" t="s">
        <v>1</v>
      </c>
      <c r="C13" s="555" t="s">
        <v>2</v>
      </c>
      <c r="D13" s="556"/>
      <c r="E13" s="556"/>
      <c r="F13" s="557"/>
      <c r="H13" s="11"/>
      <c r="I13" s="11"/>
      <c r="J13" s="11"/>
      <c r="K13" s="11"/>
      <c r="L13" s="11"/>
      <c r="M13" s="11"/>
      <c r="N13" s="11"/>
    </row>
    <row r="14" spans="1:14" ht="58.5" customHeight="1">
      <c r="A14" s="8" t="s">
        <v>3</v>
      </c>
      <c r="B14" s="10" t="s">
        <v>4</v>
      </c>
      <c r="C14" s="555" t="s">
        <v>5</v>
      </c>
      <c r="D14" s="556"/>
      <c r="E14" s="556"/>
      <c r="F14" s="557"/>
      <c r="H14" s="11"/>
      <c r="I14" s="11"/>
      <c r="J14" s="11"/>
      <c r="K14" s="11"/>
      <c r="L14" s="11"/>
      <c r="M14" s="11"/>
      <c r="N14" s="11"/>
    </row>
    <row r="15" spans="1:14" ht="70" customHeight="1">
      <c r="A15" s="8" t="s">
        <v>6</v>
      </c>
      <c r="B15" s="9" t="s">
        <v>7</v>
      </c>
      <c r="C15" s="555" t="s">
        <v>8</v>
      </c>
      <c r="D15" s="556"/>
      <c r="E15" s="556"/>
      <c r="F15" s="557"/>
      <c r="H15" s="11"/>
      <c r="I15" s="11"/>
      <c r="J15" s="11"/>
      <c r="K15" s="11"/>
      <c r="L15" s="11"/>
      <c r="M15" s="11"/>
      <c r="N15" s="11"/>
    </row>
    <row r="16" spans="1:14" ht="60" customHeight="1">
      <c r="A16" s="8" t="s">
        <v>9</v>
      </c>
      <c r="B16" s="9" t="s">
        <v>10</v>
      </c>
      <c r="C16" s="555" t="s">
        <v>11</v>
      </c>
      <c r="D16" s="556"/>
      <c r="E16" s="556"/>
      <c r="F16" s="557"/>
      <c r="H16" s="11"/>
      <c r="I16" s="11"/>
      <c r="J16" s="11"/>
      <c r="K16" s="11"/>
      <c r="L16" s="11"/>
      <c r="M16" s="11"/>
      <c r="N16" s="11"/>
    </row>
    <row r="17" spans="1:14" ht="60" customHeight="1">
      <c r="A17" s="8" t="s">
        <v>12</v>
      </c>
      <c r="B17" s="10" t="s">
        <v>13</v>
      </c>
      <c r="C17" s="555" t="s">
        <v>14</v>
      </c>
      <c r="D17" s="556"/>
      <c r="E17" s="556"/>
      <c r="F17" s="557"/>
      <c r="H17" s="11"/>
      <c r="I17" s="11"/>
      <c r="J17" s="11"/>
      <c r="K17" s="11"/>
      <c r="L17" s="11"/>
      <c r="M17" s="11"/>
      <c r="N17" s="11"/>
    </row>
    <row r="18" spans="1:14" ht="50.1" customHeight="1">
      <c r="A18" s="8" t="s">
        <v>15</v>
      </c>
      <c r="B18" s="10" t="s">
        <v>16</v>
      </c>
      <c r="C18" s="562" t="s">
        <v>17</v>
      </c>
      <c r="D18" s="563"/>
      <c r="E18" s="563"/>
      <c r="F18" s="564"/>
      <c r="H18" s="11"/>
      <c r="I18" s="11"/>
      <c r="J18" s="11"/>
      <c r="K18" s="11"/>
      <c r="L18" s="11"/>
      <c r="M18" s="11"/>
      <c r="N18" s="11"/>
    </row>
    <row r="19" spans="1:14" ht="50.1" customHeight="1">
      <c r="A19" s="8" t="s">
        <v>18</v>
      </c>
      <c r="B19" s="10" t="s">
        <v>19</v>
      </c>
      <c r="C19" s="565"/>
      <c r="D19" s="566"/>
      <c r="E19" s="566"/>
      <c r="F19" s="567"/>
      <c r="H19" s="11"/>
      <c r="I19" s="11"/>
      <c r="J19" s="11"/>
      <c r="K19" s="11"/>
      <c r="L19" s="11"/>
      <c r="M19" s="11"/>
      <c r="N19" s="11"/>
    </row>
    <row r="20" spans="1:14" ht="13.5" customHeight="1">
      <c r="A20" s="12"/>
      <c r="B20" s="13"/>
      <c r="C20" s="13"/>
      <c r="D20" s="13"/>
      <c r="E20" s="13"/>
      <c r="F20" s="13"/>
    </row>
    <row r="21" spans="1:14" s="15" customFormat="1" ht="30" customHeight="1">
      <c r="A21" s="568" t="s">
        <v>20</v>
      </c>
      <c r="B21" s="570" t="s">
        <v>21</v>
      </c>
      <c r="C21" s="422"/>
      <c r="D21" s="422"/>
      <c r="E21" s="422"/>
      <c r="F21" s="14" t="s">
        <v>22</v>
      </c>
    </row>
    <row r="22" spans="1:14" s="15" customFormat="1" ht="30" customHeight="1">
      <c r="A22" s="569"/>
      <c r="B22" s="571"/>
      <c r="C22" s="553"/>
      <c r="D22" s="553"/>
      <c r="E22" s="553"/>
      <c r="F22" s="16">
        <v>180</v>
      </c>
    </row>
    <row r="23" spans="1:14" s="19" customFormat="1" ht="30" customHeight="1">
      <c r="A23" s="558" t="s">
        <v>23</v>
      </c>
      <c r="B23" s="559" t="s">
        <v>24</v>
      </c>
      <c r="C23" s="366">
        <v>1</v>
      </c>
      <c r="D23" s="17" t="s">
        <v>447</v>
      </c>
      <c r="E23" s="416" t="s">
        <v>25</v>
      </c>
      <c r="F23" s="18">
        <v>20</v>
      </c>
    </row>
    <row r="24" spans="1:14" s="19" customFormat="1" ht="30" customHeight="1">
      <c r="A24" s="558"/>
      <c r="B24" s="560"/>
      <c r="C24" s="367"/>
      <c r="D24" s="20" t="s">
        <v>448</v>
      </c>
      <c r="E24" s="572"/>
      <c r="F24" s="21">
        <v>70</v>
      </c>
    </row>
    <row r="25" spans="1:14" s="19" customFormat="1" ht="30" customHeight="1">
      <c r="A25" s="558"/>
      <c r="B25" s="573" t="s">
        <v>24</v>
      </c>
      <c r="C25" s="430">
        <v>2</v>
      </c>
      <c r="D25" s="20" t="s">
        <v>26</v>
      </c>
      <c r="E25" s="408" t="s">
        <v>25</v>
      </c>
      <c r="F25" s="21">
        <v>25</v>
      </c>
    </row>
    <row r="26" spans="1:14" s="19" customFormat="1" ht="30" customHeight="1">
      <c r="A26" s="558"/>
      <c r="B26" s="574"/>
      <c r="C26" s="575"/>
      <c r="D26" s="22" t="s">
        <v>27</v>
      </c>
      <c r="E26" s="409"/>
      <c r="F26" s="23">
        <v>40</v>
      </c>
    </row>
    <row r="27" spans="1:14" s="19" customFormat="1" ht="30" customHeight="1">
      <c r="A27" s="558" t="s">
        <v>28</v>
      </c>
      <c r="B27" s="24" t="s">
        <v>24</v>
      </c>
      <c r="C27" s="25">
        <v>3</v>
      </c>
      <c r="D27" s="17" t="s">
        <v>29</v>
      </c>
      <c r="E27" s="26"/>
      <c r="F27" s="18">
        <v>5</v>
      </c>
    </row>
    <row r="28" spans="1:14" s="19" customFormat="1" ht="30" customHeight="1">
      <c r="A28" s="595"/>
      <c r="B28" s="27" t="s">
        <v>24</v>
      </c>
      <c r="C28" s="28">
        <v>4</v>
      </c>
      <c r="D28" s="22" t="s">
        <v>30</v>
      </c>
      <c r="E28" s="29"/>
      <c r="F28" s="23">
        <v>10</v>
      </c>
    </row>
    <row r="29" spans="1:14" s="19" customFormat="1" ht="30" customHeight="1">
      <c r="A29" s="558" t="s">
        <v>31</v>
      </c>
      <c r="B29" s="559" t="s">
        <v>24</v>
      </c>
      <c r="C29" s="366">
        <v>5</v>
      </c>
      <c r="D29" s="17" t="s">
        <v>32</v>
      </c>
      <c r="E29" s="407" t="s">
        <v>25</v>
      </c>
      <c r="F29" s="18">
        <v>5</v>
      </c>
    </row>
    <row r="30" spans="1:14" s="19" customFormat="1" ht="30" customHeight="1">
      <c r="A30" s="558"/>
      <c r="B30" s="560"/>
      <c r="C30" s="367"/>
      <c r="D30" s="20" t="s">
        <v>33</v>
      </c>
      <c r="E30" s="408"/>
      <c r="F30" s="30">
        <v>10</v>
      </c>
    </row>
    <row r="31" spans="1:14" s="19" customFormat="1" ht="30" customHeight="1">
      <c r="A31" s="558"/>
      <c r="B31" s="561"/>
      <c r="C31" s="368"/>
      <c r="D31" s="22" t="s">
        <v>34</v>
      </c>
      <c r="E31" s="409"/>
      <c r="F31" s="23">
        <v>15</v>
      </c>
    </row>
    <row r="32" spans="1:14" s="212" customFormat="1" ht="38.1" customHeight="1">
      <c r="A32" s="590" t="s">
        <v>35</v>
      </c>
      <c r="B32" s="591" t="s">
        <v>24</v>
      </c>
      <c r="C32" s="593">
        <v>6</v>
      </c>
      <c r="D32" s="17" t="s">
        <v>449</v>
      </c>
      <c r="E32" s="416" t="s">
        <v>25</v>
      </c>
      <c r="F32" s="18">
        <v>5</v>
      </c>
    </row>
    <row r="33" spans="1:14" s="212" customFormat="1" ht="38.1" customHeight="1">
      <c r="A33" s="590"/>
      <c r="B33" s="592"/>
      <c r="C33" s="594"/>
      <c r="D33" s="22" t="s">
        <v>450</v>
      </c>
      <c r="E33" s="417"/>
      <c r="F33" s="23">
        <v>10</v>
      </c>
    </row>
    <row r="34" spans="1:14" s="32" customFormat="1" ht="25" customHeight="1">
      <c r="A34" s="31" t="s">
        <v>36</v>
      </c>
      <c r="I34" s="33"/>
      <c r="J34" s="34"/>
      <c r="K34" s="34"/>
      <c r="L34" s="34"/>
      <c r="M34" s="34"/>
      <c r="N34" s="34"/>
    </row>
    <row r="35" spans="1:14" s="19" customFormat="1">
      <c r="A35" s="35" t="s">
        <v>37</v>
      </c>
      <c r="B35" s="36"/>
      <c r="C35" s="36"/>
      <c r="D35" s="36"/>
      <c r="I35" s="37"/>
      <c r="J35" s="37"/>
      <c r="K35" s="37"/>
      <c r="L35" s="37"/>
      <c r="M35" s="37"/>
      <c r="N35" s="37"/>
    </row>
    <row r="36" spans="1:14" s="19" customFormat="1">
      <c r="A36" s="38" t="s">
        <v>38</v>
      </c>
      <c r="B36" s="36"/>
      <c r="C36" s="36"/>
      <c r="E36" s="39"/>
      <c r="I36" s="37"/>
      <c r="J36" s="37"/>
      <c r="K36" s="37"/>
      <c r="L36" s="37"/>
      <c r="M36" s="37"/>
      <c r="N36" s="37"/>
    </row>
    <row r="37" spans="1:14" s="19" customFormat="1">
      <c r="A37" s="35" t="s">
        <v>39</v>
      </c>
      <c r="B37" s="36"/>
      <c r="C37" s="36"/>
      <c r="D37" s="40"/>
      <c r="I37" s="37"/>
      <c r="J37" s="37"/>
      <c r="K37" s="37"/>
      <c r="L37" s="37"/>
      <c r="M37" s="37"/>
      <c r="N37" s="37"/>
    </row>
    <row r="38" spans="1:14" s="19" customFormat="1">
      <c r="A38" s="41" t="s">
        <v>40</v>
      </c>
      <c r="B38" s="41"/>
      <c r="C38" s="41"/>
      <c r="D38" s="42"/>
      <c r="E38" s="39"/>
      <c r="I38" s="37"/>
      <c r="J38" s="37"/>
      <c r="K38" s="37"/>
      <c r="L38" s="37"/>
      <c r="M38" s="37"/>
      <c r="N38" s="37"/>
    </row>
    <row r="39" spans="1:14" s="19" customFormat="1">
      <c r="A39" s="41" t="s">
        <v>41</v>
      </c>
      <c r="B39" s="36"/>
      <c r="C39" s="36"/>
      <c r="D39" s="42"/>
      <c r="E39" s="39"/>
      <c r="I39" s="37"/>
      <c r="J39" s="37"/>
      <c r="K39" s="37"/>
      <c r="L39" s="37"/>
      <c r="M39" s="37"/>
      <c r="N39" s="37"/>
    </row>
    <row r="40" spans="1:14" s="19" customFormat="1">
      <c r="A40" s="579" t="s">
        <v>42</v>
      </c>
      <c r="B40" s="579"/>
      <c r="C40" s="579"/>
      <c r="D40" s="579"/>
      <c r="E40" s="579"/>
      <c r="F40" s="579"/>
    </row>
    <row r="41" spans="1:14" ht="30" customHeight="1">
      <c r="A41" s="580" t="s">
        <v>43</v>
      </c>
      <c r="B41" s="582" t="s">
        <v>44</v>
      </c>
      <c r="C41" s="583"/>
      <c r="D41" s="583"/>
      <c r="E41" s="266"/>
      <c r="F41" s="267" t="s">
        <v>22</v>
      </c>
    </row>
    <row r="42" spans="1:14" ht="30" customHeight="1">
      <c r="A42" s="581"/>
      <c r="B42" s="584"/>
      <c r="C42" s="585"/>
      <c r="D42" s="585"/>
      <c r="E42" s="268"/>
      <c r="F42" s="269">
        <v>450</v>
      </c>
    </row>
    <row r="43" spans="1:14" ht="30" customHeight="1">
      <c r="A43" s="586" t="s">
        <v>45</v>
      </c>
      <c r="B43" s="44" t="s">
        <v>24</v>
      </c>
      <c r="C43" s="25">
        <v>7</v>
      </c>
      <c r="D43" s="17" t="s">
        <v>117</v>
      </c>
      <c r="E43" s="44"/>
      <c r="F43" s="18">
        <v>5</v>
      </c>
      <c r="G43" s="213"/>
    </row>
    <row r="44" spans="1:14" ht="38.1" customHeight="1">
      <c r="A44" s="587"/>
      <c r="B44" s="45" t="s">
        <v>24</v>
      </c>
      <c r="C44" s="46">
        <v>8</v>
      </c>
      <c r="D44" s="20" t="s">
        <v>46</v>
      </c>
      <c r="E44" s="45"/>
      <c r="F44" s="30">
        <v>5</v>
      </c>
    </row>
    <row r="45" spans="1:14" ht="30" customHeight="1">
      <c r="A45" s="588"/>
      <c r="B45" s="47" t="s">
        <v>24</v>
      </c>
      <c r="C45" s="28">
        <v>9</v>
      </c>
      <c r="D45" s="22" t="s">
        <v>119</v>
      </c>
      <c r="E45" s="47"/>
      <c r="F45" s="23">
        <v>5</v>
      </c>
    </row>
    <row r="46" spans="1:14" ht="38.1" customHeight="1">
      <c r="A46" s="586" t="s">
        <v>47</v>
      </c>
      <c r="B46" s="44" t="s">
        <v>24</v>
      </c>
      <c r="C46" s="25">
        <v>10</v>
      </c>
      <c r="D46" s="17" t="s">
        <v>48</v>
      </c>
      <c r="E46" s="44"/>
      <c r="F46" s="18">
        <v>5</v>
      </c>
    </row>
    <row r="47" spans="1:14" ht="61.5" customHeight="1">
      <c r="A47" s="587"/>
      <c r="B47" s="45" t="s">
        <v>24</v>
      </c>
      <c r="C47" s="46">
        <v>11</v>
      </c>
      <c r="D47" s="50" t="s">
        <v>451</v>
      </c>
      <c r="E47" s="45"/>
      <c r="F47" s="30">
        <v>5</v>
      </c>
    </row>
    <row r="48" spans="1:14" ht="50.1" customHeight="1">
      <c r="A48" s="588"/>
      <c r="B48" s="47" t="s">
        <v>24</v>
      </c>
      <c r="C48" s="28">
        <v>12</v>
      </c>
      <c r="D48" s="22" t="s">
        <v>49</v>
      </c>
      <c r="E48" s="47"/>
      <c r="F48" s="23">
        <v>5</v>
      </c>
    </row>
    <row r="49" spans="1:6" ht="48" customHeight="1">
      <c r="A49" s="589" t="s">
        <v>526</v>
      </c>
      <c r="B49" s="270" t="s">
        <v>24</v>
      </c>
      <c r="C49" s="271">
        <v>13</v>
      </c>
      <c r="D49" s="272" t="s">
        <v>525</v>
      </c>
      <c r="E49" s="215"/>
      <c r="F49" s="18">
        <v>10</v>
      </c>
    </row>
    <row r="50" spans="1:6" ht="38.1" customHeight="1">
      <c r="A50" s="589"/>
      <c r="B50" s="270" t="s">
        <v>24</v>
      </c>
      <c r="C50" s="271">
        <v>14</v>
      </c>
      <c r="D50" s="273" t="s">
        <v>452</v>
      </c>
      <c r="E50" s="49"/>
      <c r="F50" s="30">
        <v>10</v>
      </c>
    </row>
    <row r="51" spans="1:6" ht="51" customHeight="1">
      <c r="A51" s="589"/>
      <c r="B51" s="270" t="s">
        <v>24</v>
      </c>
      <c r="C51" s="271">
        <v>15</v>
      </c>
      <c r="D51" s="273" t="s">
        <v>453</v>
      </c>
      <c r="E51" s="49"/>
      <c r="F51" s="30">
        <v>10</v>
      </c>
    </row>
    <row r="52" spans="1:6" s="52" customFormat="1" ht="43.5" customHeight="1">
      <c r="A52" s="589"/>
      <c r="B52" s="270" t="s">
        <v>24</v>
      </c>
      <c r="C52" s="271">
        <v>16</v>
      </c>
      <c r="D52" s="273" t="s">
        <v>485</v>
      </c>
      <c r="E52" s="51"/>
      <c r="F52" s="62">
        <v>10</v>
      </c>
    </row>
    <row r="53" spans="1:6" ht="38.1" customHeight="1">
      <c r="A53" s="589"/>
      <c r="B53" s="270" t="s">
        <v>24</v>
      </c>
      <c r="C53" s="271">
        <v>17</v>
      </c>
      <c r="D53" s="273" t="s">
        <v>486</v>
      </c>
      <c r="E53" s="53"/>
      <c r="F53" s="23">
        <v>20</v>
      </c>
    </row>
    <row r="54" spans="1:6" ht="50.1" customHeight="1">
      <c r="A54" s="600" t="s">
        <v>454</v>
      </c>
      <c r="B54" s="597" t="s">
        <v>24</v>
      </c>
      <c r="C54" s="635">
        <v>18</v>
      </c>
      <c r="D54" s="17" t="s">
        <v>129</v>
      </c>
      <c r="E54" s="621" t="s">
        <v>51</v>
      </c>
      <c r="F54" s="18">
        <v>40</v>
      </c>
    </row>
    <row r="55" spans="1:6" ht="65.099999999999994" customHeight="1">
      <c r="A55" s="601"/>
      <c r="B55" s="428"/>
      <c r="C55" s="430"/>
      <c r="D55" s="20" t="s">
        <v>131</v>
      </c>
      <c r="E55" s="622"/>
      <c r="F55" s="30">
        <v>60</v>
      </c>
    </row>
    <row r="56" spans="1:6" ht="65.099999999999994" customHeight="1">
      <c r="A56" s="632"/>
      <c r="B56" s="598"/>
      <c r="C56" s="578"/>
      <c r="D56" s="22" t="s">
        <v>132</v>
      </c>
      <c r="E56" s="623"/>
      <c r="F56" s="23">
        <v>80</v>
      </c>
    </row>
    <row r="57" spans="1:6" ht="38.1" customHeight="1">
      <c r="A57" s="633" t="s">
        <v>455</v>
      </c>
      <c r="B57" s="624" t="s">
        <v>456</v>
      </c>
      <c r="C57" s="576">
        <v>19</v>
      </c>
      <c r="D57" s="17" t="s">
        <v>134</v>
      </c>
      <c r="E57" s="627" t="s">
        <v>51</v>
      </c>
      <c r="F57" s="18">
        <v>10</v>
      </c>
    </row>
    <row r="58" spans="1:6" ht="50.1" customHeight="1">
      <c r="A58" s="634"/>
      <c r="B58" s="625"/>
      <c r="C58" s="577"/>
      <c r="D58" s="20" t="s">
        <v>135</v>
      </c>
      <c r="E58" s="628"/>
      <c r="F58" s="30">
        <v>20</v>
      </c>
    </row>
    <row r="59" spans="1:6" s="52" customFormat="1" ht="50.1" customHeight="1">
      <c r="A59" s="634"/>
      <c r="B59" s="626"/>
      <c r="C59" s="578"/>
      <c r="D59" s="22" t="s">
        <v>487</v>
      </c>
      <c r="E59" s="629"/>
      <c r="F59" s="54">
        <v>30</v>
      </c>
    </row>
    <row r="60" spans="1:6" ht="63" customHeight="1">
      <c r="A60" s="600" t="s">
        <v>457</v>
      </c>
      <c r="B60" s="597" t="s">
        <v>24</v>
      </c>
      <c r="C60" s="576">
        <v>20</v>
      </c>
      <c r="D60" s="274" t="s">
        <v>488</v>
      </c>
      <c r="E60" s="275"/>
      <c r="F60" s="18">
        <v>10</v>
      </c>
    </row>
    <row r="61" spans="1:6" ht="54.75" customHeight="1">
      <c r="A61" s="601"/>
      <c r="B61" s="428"/>
      <c r="C61" s="577"/>
      <c r="D61" s="276" t="s">
        <v>489</v>
      </c>
      <c r="E61" s="277"/>
      <c r="F61" s="30">
        <v>10</v>
      </c>
    </row>
    <row r="62" spans="1:6" ht="42" customHeight="1">
      <c r="A62" s="632"/>
      <c r="B62" s="598"/>
      <c r="C62" s="578"/>
      <c r="D62" s="278" t="s">
        <v>458</v>
      </c>
      <c r="E62" s="279"/>
      <c r="F62" s="23">
        <v>10</v>
      </c>
    </row>
    <row r="63" spans="1:6" ht="38.1" customHeight="1">
      <c r="A63" s="586" t="s">
        <v>141</v>
      </c>
      <c r="B63" s="597" t="s">
        <v>24</v>
      </c>
      <c r="C63" s="576">
        <v>21</v>
      </c>
      <c r="D63" s="17" t="s">
        <v>50</v>
      </c>
      <c r="E63" s="630" t="s">
        <v>51</v>
      </c>
      <c r="F63" s="18">
        <v>10</v>
      </c>
    </row>
    <row r="64" spans="1:6" ht="38.1" customHeight="1">
      <c r="A64" s="587"/>
      <c r="B64" s="428"/>
      <c r="C64" s="577"/>
      <c r="D64" s="20" t="s">
        <v>52</v>
      </c>
      <c r="E64" s="631"/>
      <c r="F64" s="30">
        <v>20</v>
      </c>
    </row>
    <row r="65" spans="1:6" ht="38.1" customHeight="1">
      <c r="A65" s="588"/>
      <c r="B65" s="598"/>
      <c r="C65" s="578"/>
      <c r="D65" s="22" t="s">
        <v>142</v>
      </c>
      <c r="E65" s="623"/>
      <c r="F65" s="23">
        <v>30</v>
      </c>
    </row>
    <row r="66" spans="1:6" ht="50.1" customHeight="1">
      <c r="A66" s="586" t="s">
        <v>459</v>
      </c>
      <c r="B66" s="597" t="s">
        <v>24</v>
      </c>
      <c r="C66" s="576">
        <v>22</v>
      </c>
      <c r="D66" s="17" t="s">
        <v>490</v>
      </c>
      <c r="E66" s="275"/>
      <c r="F66" s="18">
        <v>10</v>
      </c>
    </row>
    <row r="67" spans="1:6" ht="65.099999999999994" customHeight="1">
      <c r="A67" s="587"/>
      <c r="B67" s="428"/>
      <c r="C67" s="577"/>
      <c r="D67" s="20" t="s">
        <v>460</v>
      </c>
      <c r="E67" s="277"/>
      <c r="F67" s="30">
        <v>10</v>
      </c>
    </row>
    <row r="68" spans="1:6" ht="65.099999999999994" customHeight="1">
      <c r="A68" s="596"/>
      <c r="B68" s="429"/>
      <c r="C68" s="599"/>
      <c r="D68" s="20" t="s">
        <v>461</v>
      </c>
      <c r="E68" s="280"/>
      <c r="F68" s="81">
        <v>10</v>
      </c>
    </row>
    <row r="69" spans="1:6" ht="61.5" customHeight="1">
      <c r="A69" s="588"/>
      <c r="B69" s="598"/>
      <c r="C69" s="578"/>
      <c r="D69" s="22" t="s">
        <v>491</v>
      </c>
      <c r="E69" s="279"/>
      <c r="F69" s="23">
        <v>20</v>
      </c>
    </row>
    <row r="70" spans="1:6" ht="57.75" customHeight="1">
      <c r="A70" s="600" t="s">
        <v>462</v>
      </c>
      <c r="B70" s="597" t="s">
        <v>24</v>
      </c>
      <c r="C70" s="576">
        <v>23</v>
      </c>
      <c r="D70" s="17" t="s">
        <v>149</v>
      </c>
      <c r="E70" s="275"/>
      <c r="F70" s="18">
        <v>10</v>
      </c>
    </row>
    <row r="71" spans="1:6" ht="38.1" customHeight="1">
      <c r="A71" s="601"/>
      <c r="B71" s="428"/>
      <c r="C71" s="577"/>
      <c r="D71" s="20" t="s">
        <v>150</v>
      </c>
      <c r="E71" s="277"/>
      <c r="F71" s="30">
        <v>20</v>
      </c>
    </row>
    <row r="72" spans="1:6" ht="73.5" customHeight="1">
      <c r="A72" s="602"/>
      <c r="B72" s="429"/>
      <c r="C72" s="599"/>
      <c r="D72" s="20" t="s">
        <v>482</v>
      </c>
      <c r="E72" s="280"/>
      <c r="F72" s="81">
        <v>30</v>
      </c>
    </row>
    <row r="73" spans="1:6" ht="68.25" customHeight="1">
      <c r="A73" s="602"/>
      <c r="B73" s="429"/>
      <c r="C73" s="599"/>
      <c r="D73" s="20" t="s">
        <v>152</v>
      </c>
      <c r="E73" s="280"/>
      <c r="F73" s="81">
        <v>40</v>
      </c>
    </row>
    <row r="74" spans="1:6" ht="88.5" customHeight="1">
      <c r="A74" s="602"/>
      <c r="B74" s="429"/>
      <c r="C74" s="599"/>
      <c r="D74" s="281" t="s">
        <v>494</v>
      </c>
      <c r="E74" s="280"/>
      <c r="F74" s="81">
        <v>50</v>
      </c>
    </row>
    <row r="75" spans="1:6" ht="38.1" customHeight="1">
      <c r="A75" s="600" t="s">
        <v>463</v>
      </c>
      <c r="B75" s="597" t="s">
        <v>24</v>
      </c>
      <c r="C75" s="576">
        <v>24</v>
      </c>
      <c r="D75" s="17" t="s">
        <v>492</v>
      </c>
      <c r="E75" s="275"/>
      <c r="F75" s="18">
        <v>20</v>
      </c>
    </row>
    <row r="76" spans="1:6" ht="55.5" customHeight="1">
      <c r="A76" s="601"/>
      <c r="B76" s="428"/>
      <c r="C76" s="577"/>
      <c r="D76" s="20" t="s">
        <v>493</v>
      </c>
      <c r="E76" s="277"/>
      <c r="F76" s="30">
        <v>20</v>
      </c>
    </row>
    <row r="77" spans="1:6" ht="43.5" customHeight="1">
      <c r="A77" s="601"/>
      <c r="B77" s="428"/>
      <c r="C77" s="577"/>
      <c r="D77" s="22" t="s">
        <v>464</v>
      </c>
      <c r="E77" s="277"/>
      <c r="F77" s="30">
        <v>10</v>
      </c>
    </row>
    <row r="78" spans="1:6" ht="52.5" customHeight="1">
      <c r="A78" s="600" t="s">
        <v>465</v>
      </c>
      <c r="B78" s="44" t="s">
        <v>24</v>
      </c>
      <c r="C78" s="214">
        <v>25</v>
      </c>
      <c r="D78" s="17" t="s">
        <v>495</v>
      </c>
      <c r="E78" s="275"/>
      <c r="F78" s="18">
        <v>10</v>
      </c>
    </row>
    <row r="79" spans="1:6" ht="52.5" customHeight="1">
      <c r="A79" s="601"/>
      <c r="B79" s="45" t="s">
        <v>24</v>
      </c>
      <c r="C79" s="217">
        <v>26</v>
      </c>
      <c r="D79" s="20" t="s">
        <v>496</v>
      </c>
      <c r="E79" s="277"/>
      <c r="F79" s="30">
        <v>10</v>
      </c>
    </row>
    <row r="80" spans="1:6" ht="38.1" customHeight="1">
      <c r="A80" s="601"/>
      <c r="B80" s="45" t="s">
        <v>24</v>
      </c>
      <c r="C80" s="217">
        <v>27</v>
      </c>
      <c r="D80" s="20" t="s">
        <v>497</v>
      </c>
      <c r="E80" s="277"/>
      <c r="F80" s="30">
        <v>10</v>
      </c>
    </row>
    <row r="81" spans="1:9" ht="56.25" customHeight="1">
      <c r="A81" s="632"/>
      <c r="B81" s="47" t="s">
        <v>24</v>
      </c>
      <c r="C81" s="216">
        <v>28</v>
      </c>
      <c r="D81" s="22" t="s">
        <v>498</v>
      </c>
      <c r="E81" s="279"/>
      <c r="F81" s="23">
        <v>10</v>
      </c>
      <c r="I81" s="213">
        <f>SUM(F43:F81)</f>
        <v>710</v>
      </c>
    </row>
    <row r="82" spans="1:9" ht="30" customHeight="1">
      <c r="A82" s="647" t="s">
        <v>53</v>
      </c>
      <c r="B82" s="610" t="s">
        <v>54</v>
      </c>
      <c r="C82" s="611"/>
      <c r="D82" s="611"/>
      <c r="E82" s="282"/>
      <c r="F82" s="283" t="s">
        <v>55</v>
      </c>
    </row>
    <row r="83" spans="1:9" ht="30" customHeight="1">
      <c r="A83" s="648"/>
      <c r="B83" s="612"/>
      <c r="C83" s="613"/>
      <c r="D83" s="613"/>
      <c r="E83" s="284"/>
      <c r="F83" s="285">
        <f>SUM(F84:F91,F94,F95:F97)</f>
        <v>120</v>
      </c>
    </row>
    <row r="84" spans="1:9" ht="50.1" customHeight="1">
      <c r="A84" s="614" t="s">
        <v>165</v>
      </c>
      <c r="B84" s="44" t="s">
        <v>24</v>
      </c>
      <c r="C84" s="25">
        <v>29</v>
      </c>
      <c r="D84" s="17" t="s">
        <v>56</v>
      </c>
      <c r="E84" s="44"/>
      <c r="F84" s="18">
        <v>10</v>
      </c>
    </row>
    <row r="85" spans="1:9" ht="38.1" customHeight="1">
      <c r="A85" s="615"/>
      <c r="B85" s="45" t="s">
        <v>24</v>
      </c>
      <c r="C85" s="46">
        <v>30</v>
      </c>
      <c r="D85" s="20" t="s">
        <v>57</v>
      </c>
      <c r="E85" s="45"/>
      <c r="F85" s="30">
        <v>10</v>
      </c>
    </row>
    <row r="86" spans="1:9" ht="38.1" customHeight="1">
      <c r="A86" s="615"/>
      <c r="B86" s="45" t="s">
        <v>24</v>
      </c>
      <c r="C86" s="46">
        <v>31</v>
      </c>
      <c r="D86" s="20" t="s">
        <v>58</v>
      </c>
      <c r="E86" s="45"/>
      <c r="F86" s="30">
        <v>10</v>
      </c>
    </row>
    <row r="87" spans="1:9" ht="65.099999999999994" customHeight="1">
      <c r="A87" s="615"/>
      <c r="B87" s="45" t="s">
        <v>24</v>
      </c>
      <c r="C87" s="46">
        <v>32</v>
      </c>
      <c r="D87" s="20" t="s">
        <v>59</v>
      </c>
      <c r="E87" s="45"/>
      <c r="F87" s="30">
        <v>10</v>
      </c>
    </row>
    <row r="88" spans="1:9" ht="38.1" customHeight="1">
      <c r="A88" s="615"/>
      <c r="B88" s="45" t="s">
        <v>24</v>
      </c>
      <c r="C88" s="46">
        <v>33</v>
      </c>
      <c r="D88" s="20" t="s">
        <v>60</v>
      </c>
      <c r="E88" s="45"/>
      <c r="F88" s="30">
        <v>5</v>
      </c>
    </row>
    <row r="89" spans="1:9" ht="38.1" customHeight="1">
      <c r="A89" s="616"/>
      <c r="B89" s="47" t="s">
        <v>24</v>
      </c>
      <c r="C89" s="28">
        <v>34</v>
      </c>
      <c r="D89" s="22" t="s">
        <v>61</v>
      </c>
      <c r="E89" s="47"/>
      <c r="F89" s="23">
        <v>5</v>
      </c>
    </row>
    <row r="90" spans="1:9" ht="38.1" customHeight="1">
      <c r="A90" s="614" t="s">
        <v>168</v>
      </c>
      <c r="B90" s="44" t="s">
        <v>24</v>
      </c>
      <c r="C90" s="25">
        <v>35</v>
      </c>
      <c r="D90" s="17" t="s">
        <v>62</v>
      </c>
      <c r="E90" s="44"/>
      <c r="F90" s="18">
        <v>10</v>
      </c>
    </row>
    <row r="91" spans="1:9" ht="38.1" customHeight="1">
      <c r="A91" s="615"/>
      <c r="B91" s="45" t="s">
        <v>24</v>
      </c>
      <c r="C91" s="46">
        <v>36</v>
      </c>
      <c r="D91" s="20" t="s">
        <v>63</v>
      </c>
      <c r="E91" s="45"/>
      <c r="F91" s="30">
        <v>10</v>
      </c>
    </row>
    <row r="92" spans="1:9" ht="30" customHeight="1">
      <c r="A92" s="615"/>
      <c r="B92" s="45" t="s">
        <v>24</v>
      </c>
      <c r="C92" s="46">
        <v>37</v>
      </c>
      <c r="D92" s="20" t="s">
        <v>64</v>
      </c>
      <c r="E92" s="636" t="s">
        <v>65</v>
      </c>
      <c r="F92" s="30">
        <v>10</v>
      </c>
    </row>
    <row r="93" spans="1:9" ht="50.1" customHeight="1">
      <c r="A93" s="615"/>
      <c r="B93" s="45" t="s">
        <v>24</v>
      </c>
      <c r="C93" s="46">
        <v>38</v>
      </c>
      <c r="D93" s="20" t="s">
        <v>527</v>
      </c>
      <c r="E93" s="636"/>
      <c r="F93" s="30">
        <v>15</v>
      </c>
    </row>
    <row r="94" spans="1:9" ht="38.1" customHeight="1">
      <c r="A94" s="616"/>
      <c r="B94" s="45" t="s">
        <v>24</v>
      </c>
      <c r="C94" s="28">
        <v>39</v>
      </c>
      <c r="D94" s="22" t="s">
        <v>66</v>
      </c>
      <c r="E94" s="637"/>
      <c r="F94" s="23">
        <v>20</v>
      </c>
    </row>
    <row r="95" spans="1:9" ht="38.1" customHeight="1">
      <c r="A95" s="638" t="s">
        <v>171</v>
      </c>
      <c r="B95" s="44" t="s">
        <v>24</v>
      </c>
      <c r="C95" s="25">
        <v>40</v>
      </c>
      <c r="D95" s="17" t="s">
        <v>67</v>
      </c>
      <c r="E95" s="44"/>
      <c r="F95" s="18">
        <v>10</v>
      </c>
    </row>
    <row r="96" spans="1:9" ht="38.1" customHeight="1">
      <c r="A96" s="639"/>
      <c r="B96" s="45" t="s">
        <v>24</v>
      </c>
      <c r="C96" s="46">
        <v>41</v>
      </c>
      <c r="D96" s="20" t="s">
        <v>68</v>
      </c>
      <c r="E96" s="45"/>
      <c r="F96" s="30">
        <v>10</v>
      </c>
    </row>
    <row r="97" spans="1:8" ht="38.1" customHeight="1">
      <c r="A97" s="640"/>
      <c r="B97" s="47" t="s">
        <v>24</v>
      </c>
      <c r="C97" s="28">
        <v>42</v>
      </c>
      <c r="D97" s="22" t="s">
        <v>69</v>
      </c>
      <c r="E97" s="47"/>
      <c r="F97" s="23">
        <v>10</v>
      </c>
    </row>
    <row r="98" spans="1:8" ht="30" customHeight="1">
      <c r="A98" s="641" t="s">
        <v>70</v>
      </c>
      <c r="B98" s="643" t="s">
        <v>71</v>
      </c>
      <c r="C98" s="644"/>
      <c r="D98" s="644"/>
      <c r="E98" s="288"/>
      <c r="F98" s="289" t="s">
        <v>55</v>
      </c>
    </row>
    <row r="99" spans="1:8" ht="30" customHeight="1">
      <c r="A99" s="642"/>
      <c r="B99" s="645"/>
      <c r="C99" s="646"/>
      <c r="D99" s="646"/>
      <c r="E99" s="290"/>
      <c r="F99" s="291">
        <f>SUM(F100:F112)</f>
        <v>100</v>
      </c>
    </row>
    <row r="100" spans="1:8" ht="38.1" customHeight="1">
      <c r="A100" s="603" t="s">
        <v>173</v>
      </c>
      <c r="B100" s="44" t="s">
        <v>24</v>
      </c>
      <c r="C100" s="58">
        <v>43</v>
      </c>
      <c r="D100" s="17" t="s">
        <v>174</v>
      </c>
      <c r="E100" s="44"/>
      <c r="F100" s="18">
        <v>5</v>
      </c>
    </row>
    <row r="101" spans="1:8" ht="30" customHeight="1">
      <c r="A101" s="604"/>
      <c r="B101" s="45" t="s">
        <v>24</v>
      </c>
      <c r="C101" s="46">
        <v>44</v>
      </c>
      <c r="D101" s="20" t="s">
        <v>72</v>
      </c>
      <c r="E101" s="45"/>
      <c r="F101" s="30">
        <v>5</v>
      </c>
    </row>
    <row r="102" spans="1:8" ht="30" customHeight="1">
      <c r="A102" s="604"/>
      <c r="B102" s="45" t="s">
        <v>24</v>
      </c>
      <c r="C102" s="46">
        <v>45</v>
      </c>
      <c r="D102" s="20" t="s">
        <v>466</v>
      </c>
      <c r="E102" s="45"/>
      <c r="F102" s="30">
        <v>10</v>
      </c>
    </row>
    <row r="103" spans="1:8" ht="38.1" customHeight="1">
      <c r="A103" s="605"/>
      <c r="B103" s="47" t="s">
        <v>24</v>
      </c>
      <c r="C103" s="28">
        <v>46</v>
      </c>
      <c r="D103" s="22" t="s">
        <v>73</v>
      </c>
      <c r="E103" s="47"/>
      <c r="F103" s="23">
        <v>10</v>
      </c>
      <c r="H103" s="63"/>
    </row>
    <row r="104" spans="1:8" ht="38.1" customHeight="1">
      <c r="A104" s="603" t="s">
        <v>467</v>
      </c>
      <c r="B104" s="44" t="s">
        <v>24</v>
      </c>
      <c r="C104" s="25">
        <v>47</v>
      </c>
      <c r="D104" s="17" t="s">
        <v>74</v>
      </c>
      <c r="E104" s="44"/>
      <c r="F104" s="18">
        <v>10</v>
      </c>
      <c r="H104" s="63"/>
    </row>
    <row r="105" spans="1:8" ht="38.1" customHeight="1">
      <c r="A105" s="604"/>
      <c r="B105" s="45" t="s">
        <v>24</v>
      </c>
      <c r="C105" s="46">
        <v>48</v>
      </c>
      <c r="D105" s="20" t="s">
        <v>75</v>
      </c>
      <c r="E105" s="45"/>
      <c r="F105" s="30">
        <v>10</v>
      </c>
      <c r="H105" s="63"/>
    </row>
    <row r="106" spans="1:8" ht="30" customHeight="1">
      <c r="A106" s="604"/>
      <c r="B106" s="45" t="s">
        <v>24</v>
      </c>
      <c r="C106" s="46">
        <v>49</v>
      </c>
      <c r="D106" s="20" t="s">
        <v>76</v>
      </c>
      <c r="E106" s="45"/>
      <c r="F106" s="30">
        <v>10</v>
      </c>
      <c r="H106" s="63"/>
    </row>
    <row r="107" spans="1:8" ht="30" customHeight="1">
      <c r="A107" s="605"/>
      <c r="B107" s="47" t="s">
        <v>24</v>
      </c>
      <c r="C107" s="28">
        <v>50</v>
      </c>
      <c r="D107" s="22" t="s">
        <v>77</v>
      </c>
      <c r="E107" s="47"/>
      <c r="F107" s="23">
        <v>10</v>
      </c>
      <c r="H107" s="63"/>
    </row>
    <row r="108" spans="1:8" ht="38.1" customHeight="1">
      <c r="A108" s="603" t="s">
        <v>178</v>
      </c>
      <c r="B108" s="44" t="s">
        <v>24</v>
      </c>
      <c r="C108" s="25">
        <v>51</v>
      </c>
      <c r="D108" s="17" t="s">
        <v>179</v>
      </c>
      <c r="E108" s="44"/>
      <c r="F108" s="18">
        <v>5</v>
      </c>
      <c r="H108" s="63"/>
    </row>
    <row r="109" spans="1:8" ht="30" customHeight="1">
      <c r="A109" s="606"/>
      <c r="B109" s="45" t="s">
        <v>24</v>
      </c>
      <c r="C109" s="46">
        <v>52</v>
      </c>
      <c r="D109" s="20" t="s">
        <v>78</v>
      </c>
      <c r="E109" s="45"/>
      <c r="F109" s="30">
        <v>5</v>
      </c>
      <c r="H109" s="63"/>
    </row>
    <row r="110" spans="1:8" ht="50.1" customHeight="1">
      <c r="A110" s="606"/>
      <c r="B110" s="45" t="s">
        <v>24</v>
      </c>
      <c r="C110" s="46">
        <v>53</v>
      </c>
      <c r="D110" s="20" t="s">
        <v>79</v>
      </c>
      <c r="E110" s="45"/>
      <c r="F110" s="30">
        <v>10</v>
      </c>
      <c r="H110" s="63"/>
    </row>
    <row r="111" spans="1:8" ht="38.1" customHeight="1">
      <c r="A111" s="606"/>
      <c r="B111" s="45" t="s">
        <v>24</v>
      </c>
      <c r="C111" s="46">
        <v>54</v>
      </c>
      <c r="D111" s="20" t="s">
        <v>80</v>
      </c>
      <c r="E111" s="45"/>
      <c r="F111" s="30">
        <v>5</v>
      </c>
      <c r="H111" s="63"/>
    </row>
    <row r="112" spans="1:8" ht="38.1" customHeight="1">
      <c r="A112" s="607"/>
      <c r="B112" s="47" t="s">
        <v>24</v>
      </c>
      <c r="C112" s="28">
        <v>55</v>
      </c>
      <c r="D112" s="22" t="s">
        <v>81</v>
      </c>
      <c r="E112" s="47"/>
      <c r="F112" s="23">
        <v>5</v>
      </c>
      <c r="H112" s="63"/>
    </row>
    <row r="113" spans="1:8" ht="30" customHeight="1">
      <c r="A113" s="608" t="s">
        <v>82</v>
      </c>
      <c r="B113" s="617" t="s">
        <v>83</v>
      </c>
      <c r="C113" s="618"/>
      <c r="D113" s="618"/>
      <c r="E113" s="292"/>
      <c r="F113" s="293" t="s">
        <v>55</v>
      </c>
      <c r="H113" s="63"/>
    </row>
    <row r="114" spans="1:8" ht="30" customHeight="1">
      <c r="A114" s="609"/>
      <c r="B114" s="619"/>
      <c r="C114" s="620"/>
      <c r="D114" s="620"/>
      <c r="E114" s="294"/>
      <c r="F114" s="295">
        <f>SUM(F115:F124,F131)</f>
        <v>150</v>
      </c>
    </row>
    <row r="115" spans="1:8" ht="38.1" customHeight="1">
      <c r="A115" s="649" t="s">
        <v>181</v>
      </c>
      <c r="B115" s="44" t="s">
        <v>24</v>
      </c>
      <c r="C115" s="25">
        <v>56</v>
      </c>
      <c r="D115" s="17" t="s">
        <v>84</v>
      </c>
      <c r="E115" s="44"/>
      <c r="F115" s="18">
        <v>10</v>
      </c>
    </row>
    <row r="116" spans="1:8" ht="50.1" customHeight="1">
      <c r="A116" s="650"/>
      <c r="B116" s="45" t="s">
        <v>24</v>
      </c>
      <c r="C116" s="46">
        <v>57</v>
      </c>
      <c r="D116" s="20" t="s">
        <v>85</v>
      </c>
      <c r="E116" s="45"/>
      <c r="F116" s="30">
        <v>10</v>
      </c>
    </row>
    <row r="117" spans="1:8" ht="50.1" customHeight="1">
      <c r="A117" s="650"/>
      <c r="B117" s="45" t="s">
        <v>24</v>
      </c>
      <c r="C117" s="46">
        <v>58</v>
      </c>
      <c r="D117" s="20" t="s">
        <v>86</v>
      </c>
      <c r="E117" s="45"/>
      <c r="F117" s="30">
        <v>10</v>
      </c>
    </row>
    <row r="118" spans="1:8" ht="38.1" customHeight="1">
      <c r="A118" s="651"/>
      <c r="B118" s="47" t="s">
        <v>24</v>
      </c>
      <c r="C118" s="28">
        <v>59</v>
      </c>
      <c r="D118" s="22" t="s">
        <v>87</v>
      </c>
      <c r="E118" s="47"/>
      <c r="F118" s="23">
        <v>10</v>
      </c>
    </row>
    <row r="119" spans="1:8" ht="38.1" customHeight="1">
      <c r="A119" s="652" t="s">
        <v>468</v>
      </c>
      <c r="B119" s="44" t="s">
        <v>24</v>
      </c>
      <c r="C119" s="25">
        <v>60</v>
      </c>
      <c r="D119" s="17" t="s">
        <v>183</v>
      </c>
      <c r="E119" s="44"/>
      <c r="F119" s="18">
        <v>10</v>
      </c>
    </row>
    <row r="120" spans="1:8" ht="30" customHeight="1">
      <c r="A120" s="653"/>
      <c r="B120" s="45" t="s">
        <v>24</v>
      </c>
      <c r="C120" s="46">
        <v>61</v>
      </c>
      <c r="D120" s="20" t="s">
        <v>88</v>
      </c>
      <c r="E120" s="45"/>
      <c r="F120" s="30">
        <v>10</v>
      </c>
    </row>
    <row r="121" spans="1:8" ht="38.1" customHeight="1">
      <c r="A121" s="654"/>
      <c r="B121" s="47" t="s">
        <v>24</v>
      </c>
      <c r="C121" s="28">
        <v>62</v>
      </c>
      <c r="D121" s="22" t="s">
        <v>89</v>
      </c>
      <c r="E121" s="47"/>
      <c r="F121" s="23">
        <v>10</v>
      </c>
    </row>
    <row r="122" spans="1:8" ht="30" customHeight="1">
      <c r="A122" s="652" t="s">
        <v>469</v>
      </c>
      <c r="B122" s="91" t="s">
        <v>24</v>
      </c>
      <c r="C122" s="92">
        <v>63</v>
      </c>
      <c r="D122" s="17" t="s">
        <v>90</v>
      </c>
      <c r="E122" s="91"/>
      <c r="F122" s="21">
        <v>10</v>
      </c>
    </row>
    <row r="123" spans="1:8" ht="38.1" customHeight="1">
      <c r="A123" s="653"/>
      <c r="B123" s="45" t="s">
        <v>24</v>
      </c>
      <c r="C123" s="46">
        <v>64</v>
      </c>
      <c r="D123" s="20" t="s">
        <v>91</v>
      </c>
      <c r="E123" s="45"/>
      <c r="F123" s="30">
        <v>10</v>
      </c>
    </row>
    <row r="124" spans="1:8" ht="50.1" customHeight="1">
      <c r="A124" s="654"/>
      <c r="B124" s="47" t="s">
        <v>24</v>
      </c>
      <c r="C124" s="28">
        <v>65</v>
      </c>
      <c r="D124" s="22" t="s">
        <v>186</v>
      </c>
      <c r="E124" s="47"/>
      <c r="F124" s="23">
        <v>10</v>
      </c>
    </row>
    <row r="125" spans="1:8" ht="30" customHeight="1">
      <c r="A125" s="657" t="s">
        <v>443</v>
      </c>
      <c r="B125" s="363" t="s">
        <v>24</v>
      </c>
      <c r="C125" s="366">
        <v>66</v>
      </c>
      <c r="D125" s="67" t="s">
        <v>92</v>
      </c>
      <c r="E125" s="660" t="s">
        <v>93</v>
      </c>
      <c r="F125" s="95">
        <v>25</v>
      </c>
    </row>
    <row r="126" spans="1:8" ht="30" customHeight="1">
      <c r="A126" s="658"/>
      <c r="B126" s="364"/>
      <c r="C126" s="367"/>
      <c r="D126" s="20" t="s">
        <v>94</v>
      </c>
      <c r="E126" s="661"/>
      <c r="F126" s="96">
        <v>10</v>
      </c>
    </row>
    <row r="127" spans="1:8" ht="30" customHeight="1">
      <c r="A127" s="658"/>
      <c r="B127" s="364"/>
      <c r="C127" s="367"/>
      <c r="D127" s="20" t="s">
        <v>92</v>
      </c>
      <c r="E127" s="661" t="s">
        <v>95</v>
      </c>
      <c r="F127" s="30">
        <v>35</v>
      </c>
    </row>
    <row r="128" spans="1:8" ht="30" customHeight="1">
      <c r="A128" s="658"/>
      <c r="B128" s="364"/>
      <c r="C128" s="367"/>
      <c r="D128" s="20" t="s">
        <v>96</v>
      </c>
      <c r="E128" s="661"/>
      <c r="F128" s="30">
        <v>15</v>
      </c>
    </row>
    <row r="129" spans="1:6" ht="30" customHeight="1">
      <c r="A129" s="658"/>
      <c r="B129" s="364"/>
      <c r="C129" s="367"/>
      <c r="D129" s="20" t="s">
        <v>92</v>
      </c>
      <c r="E129" s="661" t="s">
        <v>97</v>
      </c>
      <c r="F129" s="30">
        <v>45</v>
      </c>
    </row>
    <row r="130" spans="1:6" ht="30" customHeight="1">
      <c r="A130" s="658"/>
      <c r="B130" s="364"/>
      <c r="C130" s="367"/>
      <c r="D130" s="20" t="s">
        <v>96</v>
      </c>
      <c r="E130" s="661"/>
      <c r="F130" s="30">
        <v>20</v>
      </c>
    </row>
    <row r="131" spans="1:6" ht="30" customHeight="1">
      <c r="A131" s="658"/>
      <c r="B131" s="364"/>
      <c r="C131" s="367"/>
      <c r="D131" s="20" t="s">
        <v>92</v>
      </c>
      <c r="E131" s="661" t="s">
        <v>98</v>
      </c>
      <c r="F131" s="68">
        <v>50</v>
      </c>
    </row>
    <row r="132" spans="1:6" ht="30" customHeight="1">
      <c r="A132" s="659"/>
      <c r="B132" s="365"/>
      <c r="C132" s="368"/>
      <c r="D132" s="22" t="s">
        <v>96</v>
      </c>
      <c r="E132" s="662"/>
      <c r="F132" s="23">
        <v>25</v>
      </c>
    </row>
    <row r="133" spans="1:6" ht="30" customHeight="1">
      <c r="A133" s="655" t="s">
        <v>528</v>
      </c>
      <c r="B133" s="656"/>
      <c r="C133" s="656"/>
      <c r="D133" s="656"/>
      <c r="E133" s="656"/>
      <c r="F133" s="656"/>
    </row>
    <row r="134" spans="1:6" ht="20.100000000000001" customHeight="1">
      <c r="A134" s="1" t="s">
        <v>99</v>
      </c>
    </row>
    <row r="135" spans="1:6" ht="20.100000000000001" customHeight="1">
      <c r="A135" s="1" t="s">
        <v>100</v>
      </c>
    </row>
    <row r="136" spans="1:6" ht="20.100000000000001" customHeight="1">
      <c r="A136" s="296" t="s">
        <v>101</v>
      </c>
      <c r="E136" s="297" t="s">
        <v>102</v>
      </c>
    </row>
    <row r="137" spans="1:6" ht="20.100000000000001" customHeight="1">
      <c r="A137" s="296" t="s">
        <v>103</v>
      </c>
      <c r="E137" s="297" t="s">
        <v>104</v>
      </c>
    </row>
  </sheetData>
  <mergeCells count="80">
    <mergeCell ref="A115:A118"/>
    <mergeCell ref="A119:A121"/>
    <mergeCell ref="A122:A124"/>
    <mergeCell ref="A133:F133"/>
    <mergeCell ref="A125:A132"/>
    <mergeCell ref="B125:B132"/>
    <mergeCell ref="C125:C132"/>
    <mergeCell ref="E125:E126"/>
    <mergeCell ref="E127:E128"/>
    <mergeCell ref="E129:E130"/>
    <mergeCell ref="E131:E132"/>
    <mergeCell ref="C75:C77"/>
    <mergeCell ref="A90:A94"/>
    <mergeCell ref="E92:E94"/>
    <mergeCell ref="A95:A97"/>
    <mergeCell ref="A98:A99"/>
    <mergeCell ref="B98:D99"/>
    <mergeCell ref="A78:A81"/>
    <mergeCell ref="A82:A83"/>
    <mergeCell ref="A75:A77"/>
    <mergeCell ref="B75:B77"/>
    <mergeCell ref="E54:E56"/>
    <mergeCell ref="B57:B59"/>
    <mergeCell ref="C57:C59"/>
    <mergeCell ref="E57:E59"/>
    <mergeCell ref="A63:A65"/>
    <mergeCell ref="B63:B65"/>
    <mergeCell ref="C63:C65"/>
    <mergeCell ref="E63:E65"/>
    <mergeCell ref="A54:A56"/>
    <mergeCell ref="A57:A59"/>
    <mergeCell ref="A60:A62"/>
    <mergeCell ref="B60:B62"/>
    <mergeCell ref="B54:B56"/>
    <mergeCell ref="C54:C56"/>
    <mergeCell ref="A100:A103"/>
    <mergeCell ref="A104:A107"/>
    <mergeCell ref="A108:A112"/>
    <mergeCell ref="A113:A114"/>
    <mergeCell ref="B82:D83"/>
    <mergeCell ref="A84:A89"/>
    <mergeCell ref="B113:D114"/>
    <mergeCell ref="A66:A69"/>
    <mergeCell ref="B66:B69"/>
    <mergeCell ref="C66:C69"/>
    <mergeCell ref="A70:A74"/>
    <mergeCell ref="B70:B74"/>
    <mergeCell ref="C70:C74"/>
    <mergeCell ref="C25:C26"/>
    <mergeCell ref="E25:E26"/>
    <mergeCell ref="C29:C31"/>
    <mergeCell ref="E29:E31"/>
    <mergeCell ref="C60:C62"/>
    <mergeCell ref="A40:F40"/>
    <mergeCell ref="A41:A42"/>
    <mergeCell ref="B41:D42"/>
    <mergeCell ref="A43:A45"/>
    <mergeCell ref="A46:A48"/>
    <mergeCell ref="A49:A53"/>
    <mergeCell ref="A32:A33"/>
    <mergeCell ref="B32:B33"/>
    <mergeCell ref="C32:C33"/>
    <mergeCell ref="E32:E33"/>
    <mergeCell ref="A27:A28"/>
    <mergeCell ref="C15:F15"/>
    <mergeCell ref="A2:F2"/>
    <mergeCell ref="C13:F13"/>
    <mergeCell ref="C14:F14"/>
    <mergeCell ref="A29:A31"/>
    <mergeCell ref="B29:B31"/>
    <mergeCell ref="C16:F16"/>
    <mergeCell ref="C17:F17"/>
    <mergeCell ref="C18:F19"/>
    <mergeCell ref="A21:A22"/>
    <mergeCell ref="B21:E22"/>
    <mergeCell ref="A23:A26"/>
    <mergeCell ref="B23:B24"/>
    <mergeCell ref="C23:C24"/>
    <mergeCell ref="E23:E24"/>
    <mergeCell ref="B25:B26"/>
  </mergeCells>
  <pageMargins left="0.28000000000000003" right="0.1" top="0.25" bottom="0.17" header="0.17" footer="0.17"/>
  <pageSetup paperSize="9" scale="98" fitToHeight="0" orientation="portrait" r:id="rId1"/>
  <rowBreaks count="5" manualBreakCount="5">
    <brk id="20" max="16383" man="1"/>
    <brk id="40" max="16383" man="1"/>
    <brk id="71" max="16383" man="1"/>
    <brk id="87" max="16383" man="1"/>
    <brk id="102" max="16383" man="1"/>
  </row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39997558519241921"/>
    <pageSetUpPr fitToPage="1"/>
  </sheetPr>
  <dimension ref="A1:I127"/>
  <sheetViews>
    <sheetView topLeftCell="A76" zoomScaleNormal="100" workbookViewId="0">
      <selection activeCell="D43" sqref="D43"/>
    </sheetView>
  </sheetViews>
  <sheetFormatPr defaultColWidth="8.83984375" defaultRowHeight="15.3"/>
  <cols>
    <col min="1" max="1" width="12.68359375" style="218" customWidth="1"/>
    <col min="2" max="2" width="10.68359375" style="219" customWidth="1"/>
    <col min="3" max="3" width="4.68359375" style="219" customWidth="1"/>
    <col min="4" max="4" width="57.26171875" style="220" customWidth="1"/>
    <col min="5" max="5" width="8.68359375" style="219" customWidth="1"/>
    <col min="6" max="6" width="9.41796875" style="221" customWidth="1"/>
    <col min="7" max="16384" width="8.83984375" style="222"/>
  </cols>
  <sheetData>
    <row r="1" spans="1:8" ht="9.6" customHeight="1"/>
    <row r="2" spans="1:8" ht="45" customHeight="1">
      <c r="A2" s="674" t="s">
        <v>479</v>
      </c>
      <c r="B2" s="675"/>
      <c r="C2" s="675"/>
      <c r="D2" s="675"/>
      <c r="E2" s="675"/>
      <c r="F2" s="675"/>
    </row>
    <row r="3" spans="1:8" ht="16" customHeight="1">
      <c r="A3" s="223"/>
      <c r="B3" s="224"/>
      <c r="C3" s="224"/>
      <c r="D3" s="224"/>
      <c r="E3" s="224"/>
      <c r="F3" s="224"/>
    </row>
    <row r="4" spans="1:8">
      <c r="A4" s="298" t="s">
        <v>0</v>
      </c>
      <c r="B4" s="299" t="s">
        <v>1</v>
      </c>
      <c r="C4" s="676" t="s">
        <v>2</v>
      </c>
      <c r="D4" s="677"/>
      <c r="E4" s="677"/>
      <c r="F4" s="678"/>
      <c r="G4" s="5"/>
      <c r="H4" s="5"/>
    </row>
    <row r="5" spans="1:8" ht="58.5" customHeight="1">
      <c r="A5" s="298" t="s">
        <v>3</v>
      </c>
      <c r="B5" s="300" t="s">
        <v>4</v>
      </c>
      <c r="C5" s="676" t="s">
        <v>5</v>
      </c>
      <c r="D5" s="677"/>
      <c r="E5" s="677"/>
      <c r="F5" s="678"/>
      <c r="G5" s="5"/>
      <c r="H5" s="5"/>
    </row>
    <row r="6" spans="1:8" ht="78.75" customHeight="1">
      <c r="A6" s="298" t="s">
        <v>6</v>
      </c>
      <c r="B6" s="299" t="s">
        <v>7</v>
      </c>
      <c r="C6" s="676" t="s">
        <v>8</v>
      </c>
      <c r="D6" s="677"/>
      <c r="E6" s="677"/>
      <c r="F6" s="678"/>
      <c r="G6" s="5"/>
      <c r="H6" s="5"/>
    </row>
    <row r="7" spans="1:8">
      <c r="A7" s="298" t="s">
        <v>9</v>
      </c>
      <c r="B7" s="299" t="s">
        <v>10</v>
      </c>
      <c r="C7" s="676" t="s">
        <v>11</v>
      </c>
      <c r="D7" s="677"/>
      <c r="E7" s="677"/>
      <c r="F7" s="678"/>
      <c r="G7" s="5"/>
      <c r="H7" s="5"/>
    </row>
    <row r="8" spans="1:8" ht="74.25" customHeight="1">
      <c r="A8" s="298" t="s">
        <v>12</v>
      </c>
      <c r="B8" s="300" t="s">
        <v>13</v>
      </c>
      <c r="C8" s="676" t="s">
        <v>14</v>
      </c>
      <c r="D8" s="677"/>
      <c r="E8" s="677"/>
      <c r="F8" s="678"/>
      <c r="G8" s="5"/>
      <c r="H8" s="5"/>
    </row>
    <row r="9" spans="1:8" ht="30">
      <c r="A9" s="298" t="s">
        <v>15</v>
      </c>
      <c r="B9" s="300" t="s">
        <v>16</v>
      </c>
      <c r="C9" s="679" t="s">
        <v>17</v>
      </c>
      <c r="D9" s="680"/>
      <c r="E9" s="680"/>
      <c r="F9" s="681"/>
      <c r="G9" s="5"/>
      <c r="H9" s="5"/>
    </row>
    <row r="10" spans="1:8" ht="78.75" customHeight="1">
      <c r="A10" s="298" t="s">
        <v>18</v>
      </c>
      <c r="B10" s="300" t="s">
        <v>19</v>
      </c>
      <c r="C10" s="682"/>
      <c r="D10" s="683"/>
      <c r="E10" s="683"/>
      <c r="F10" s="684"/>
      <c r="G10" s="5"/>
      <c r="H10" s="5"/>
    </row>
    <row r="11" spans="1:8" ht="18.75" customHeight="1">
      <c r="A11" s="685" t="s">
        <v>470</v>
      </c>
      <c r="B11" s="685"/>
      <c r="C11" s="685"/>
      <c r="D11" s="685"/>
      <c r="E11" s="685"/>
      <c r="F11" s="301">
        <v>200</v>
      </c>
      <c r="G11" s="686" t="s">
        <v>471</v>
      </c>
      <c r="H11" s="687"/>
    </row>
    <row r="12" spans="1:8" ht="18.75" customHeight="1">
      <c r="A12" s="685" t="s">
        <v>472</v>
      </c>
      <c r="B12" s="685"/>
      <c r="C12" s="685"/>
      <c r="D12" s="685"/>
      <c r="E12" s="685"/>
      <c r="F12" s="302">
        <v>300</v>
      </c>
      <c r="G12" s="686"/>
      <c r="H12" s="687"/>
    </row>
    <row r="13" spans="1:8" ht="18.75" customHeight="1">
      <c r="A13" s="685" t="s">
        <v>473</v>
      </c>
      <c r="B13" s="685"/>
      <c r="C13" s="685"/>
      <c r="D13" s="685"/>
      <c r="E13" s="685"/>
      <c r="F13" s="302">
        <v>400</v>
      </c>
      <c r="G13" s="686"/>
      <c r="H13" s="687"/>
    </row>
    <row r="14" spans="1:8" ht="18.75" customHeight="1">
      <c r="A14" s="685" t="s">
        <v>474</v>
      </c>
      <c r="B14" s="685"/>
      <c r="C14" s="685"/>
      <c r="D14" s="685"/>
      <c r="E14" s="685"/>
      <c r="F14" s="302">
        <v>600</v>
      </c>
      <c r="G14" s="705" t="s">
        <v>475</v>
      </c>
      <c r="H14" s="706" t="s">
        <v>476</v>
      </c>
    </row>
    <row r="15" spans="1:8" ht="18.75" customHeight="1">
      <c r="A15" s="685" t="s">
        <v>105</v>
      </c>
      <c r="B15" s="685"/>
      <c r="C15" s="685"/>
      <c r="D15" s="685"/>
      <c r="E15" s="685"/>
      <c r="F15" s="302">
        <v>800</v>
      </c>
      <c r="G15" s="705"/>
      <c r="H15" s="706"/>
    </row>
    <row r="16" spans="1:8" ht="18.75" customHeight="1">
      <c r="A16" s="685" t="s">
        <v>477</v>
      </c>
      <c r="B16" s="685"/>
      <c r="C16" s="685"/>
      <c r="D16" s="685"/>
      <c r="E16" s="685"/>
      <c r="F16" s="302">
        <v>900</v>
      </c>
      <c r="G16" s="707"/>
      <c r="H16" s="707"/>
    </row>
    <row r="17" spans="1:8" ht="18.75" customHeight="1">
      <c r="A17" s="685" t="s">
        <v>478</v>
      </c>
      <c r="B17" s="685"/>
      <c r="C17" s="685"/>
      <c r="D17" s="685"/>
      <c r="E17" s="685"/>
      <c r="F17" s="303">
        <v>1000</v>
      </c>
      <c r="G17" s="707"/>
      <c r="H17" s="707"/>
    </row>
    <row r="18" spans="1:8" s="225" customFormat="1" ht="30" customHeight="1">
      <c r="A18" s="697" t="s">
        <v>20</v>
      </c>
      <c r="B18" s="688" t="s">
        <v>21</v>
      </c>
      <c r="C18" s="689"/>
      <c r="D18" s="689"/>
      <c r="E18" s="689"/>
      <c r="F18" s="304" t="s">
        <v>22</v>
      </c>
      <c r="G18" s="304"/>
      <c r="H18" s="305"/>
    </row>
    <row r="19" spans="1:8" s="225" customFormat="1" ht="30" customHeight="1">
      <c r="A19" s="698"/>
      <c r="B19" s="690"/>
      <c r="C19" s="691"/>
      <c r="D19" s="691"/>
      <c r="E19" s="691"/>
      <c r="F19" s="306">
        <v>180</v>
      </c>
      <c r="G19" s="306"/>
      <c r="H19" s="307"/>
    </row>
    <row r="20" spans="1:8" s="226" customFormat="1" ht="30" customHeight="1">
      <c r="A20" s="692" t="s">
        <v>23</v>
      </c>
      <c r="B20" s="559" t="s">
        <v>24</v>
      </c>
      <c r="C20" s="366">
        <v>1</v>
      </c>
      <c r="D20" s="17" t="s">
        <v>529</v>
      </c>
      <c r="E20" s="693" t="s">
        <v>25</v>
      </c>
      <c r="F20" s="18">
        <v>20</v>
      </c>
      <c r="G20" s="18"/>
      <c r="H20" s="18"/>
    </row>
    <row r="21" spans="1:8" s="226" customFormat="1" ht="30" customHeight="1">
      <c r="A21" s="692"/>
      <c r="B21" s="560"/>
      <c r="C21" s="367"/>
      <c r="D21" s="20" t="s">
        <v>530</v>
      </c>
      <c r="E21" s="694"/>
      <c r="F21" s="21">
        <v>70</v>
      </c>
      <c r="G21" s="21">
        <v>90</v>
      </c>
      <c r="H21" s="21"/>
    </row>
    <row r="22" spans="1:8" s="226" customFormat="1" ht="30" customHeight="1">
      <c r="A22" s="692"/>
      <c r="B22" s="573" t="s">
        <v>24</v>
      </c>
      <c r="C22" s="430">
        <v>2</v>
      </c>
      <c r="D22" s="20" t="s">
        <v>26</v>
      </c>
      <c r="E22" s="695" t="s">
        <v>25</v>
      </c>
      <c r="F22" s="21">
        <v>25</v>
      </c>
      <c r="G22" s="21"/>
      <c r="H22" s="21"/>
    </row>
    <row r="23" spans="1:8" s="226" customFormat="1" ht="30" customHeight="1">
      <c r="A23" s="692"/>
      <c r="B23" s="574"/>
      <c r="C23" s="575"/>
      <c r="D23" s="22" t="s">
        <v>27</v>
      </c>
      <c r="E23" s="696"/>
      <c r="F23" s="23">
        <v>40</v>
      </c>
      <c r="G23" s="23"/>
      <c r="H23" s="23"/>
    </row>
    <row r="24" spans="1:8" s="226" customFormat="1" ht="30" customHeight="1">
      <c r="A24" s="692" t="s">
        <v>28</v>
      </c>
      <c r="B24" s="24" t="s">
        <v>24</v>
      </c>
      <c r="C24" s="25">
        <v>3</v>
      </c>
      <c r="D24" s="17" t="s">
        <v>29</v>
      </c>
      <c r="E24" s="26"/>
      <c r="F24" s="18">
        <v>5</v>
      </c>
      <c r="G24" s="18"/>
      <c r="H24" s="18"/>
    </row>
    <row r="25" spans="1:8" s="226" customFormat="1" ht="30" customHeight="1">
      <c r="A25" s="699"/>
      <c r="B25" s="27" t="s">
        <v>24</v>
      </c>
      <c r="C25" s="28">
        <v>4</v>
      </c>
      <c r="D25" s="22" t="s">
        <v>30</v>
      </c>
      <c r="E25" s="29"/>
      <c r="F25" s="23">
        <v>10</v>
      </c>
      <c r="G25" s="23"/>
      <c r="H25" s="23"/>
    </row>
    <row r="26" spans="1:8" s="226" customFormat="1" ht="30" customHeight="1">
      <c r="A26" s="692" t="s">
        <v>31</v>
      </c>
      <c r="B26" s="559" t="s">
        <v>24</v>
      </c>
      <c r="C26" s="366">
        <v>5</v>
      </c>
      <c r="D26" s="17" t="s">
        <v>32</v>
      </c>
      <c r="E26" s="708" t="s">
        <v>25</v>
      </c>
      <c r="F26" s="18">
        <v>5</v>
      </c>
      <c r="G26" s="18"/>
      <c r="H26" s="18"/>
    </row>
    <row r="27" spans="1:8" s="226" customFormat="1" ht="30" customHeight="1">
      <c r="A27" s="692"/>
      <c r="B27" s="560"/>
      <c r="C27" s="367"/>
      <c r="D27" s="20" t="s">
        <v>33</v>
      </c>
      <c r="E27" s="695"/>
      <c r="F27" s="30">
        <v>10</v>
      </c>
      <c r="G27" s="30"/>
      <c r="H27" s="30"/>
    </row>
    <row r="28" spans="1:8" s="226" customFormat="1" ht="30" customHeight="1">
      <c r="A28" s="692"/>
      <c r="B28" s="561"/>
      <c r="C28" s="368"/>
      <c r="D28" s="22" t="s">
        <v>34</v>
      </c>
      <c r="E28" s="696"/>
      <c r="F28" s="23">
        <v>15</v>
      </c>
      <c r="G28" s="23"/>
      <c r="H28" s="23"/>
    </row>
    <row r="29" spans="1:8" s="227" customFormat="1" ht="38.1" customHeight="1">
      <c r="A29" s="709" t="s">
        <v>35</v>
      </c>
      <c r="B29" s="710" t="s">
        <v>24</v>
      </c>
      <c r="C29" s="712">
        <v>6</v>
      </c>
      <c r="D29" s="17" t="s">
        <v>531</v>
      </c>
      <c r="E29" s="693" t="s">
        <v>25</v>
      </c>
      <c r="F29" s="18">
        <v>5</v>
      </c>
      <c r="G29" s="18">
        <v>5</v>
      </c>
      <c r="H29" s="18"/>
    </row>
    <row r="30" spans="1:8" s="227" customFormat="1" ht="38.1" customHeight="1">
      <c r="A30" s="709"/>
      <c r="B30" s="711"/>
      <c r="C30" s="713"/>
      <c r="D30" s="22" t="s">
        <v>532</v>
      </c>
      <c r="E30" s="714"/>
      <c r="F30" s="23">
        <v>10</v>
      </c>
      <c r="G30" s="23"/>
      <c r="H30" s="23"/>
    </row>
    <row r="31" spans="1:8" ht="30" customHeight="1">
      <c r="A31" s="715" t="s">
        <v>43</v>
      </c>
      <c r="B31" s="582" t="s">
        <v>44</v>
      </c>
      <c r="C31" s="583"/>
      <c r="D31" s="583"/>
      <c r="E31" s="266"/>
      <c r="F31" s="267" t="s">
        <v>22</v>
      </c>
      <c r="G31" s="267"/>
      <c r="H31" s="267"/>
    </row>
    <row r="32" spans="1:8" ht="30" customHeight="1">
      <c r="A32" s="716"/>
      <c r="B32" s="584"/>
      <c r="C32" s="585"/>
      <c r="D32" s="585"/>
      <c r="E32" s="268"/>
      <c r="F32" s="269">
        <f>SUM(F33:F43,F46,F49,F50:F52,F55,F56:F59,F64,F65:F71)</f>
        <v>450</v>
      </c>
      <c r="G32" s="269"/>
      <c r="H32" s="269"/>
    </row>
    <row r="33" spans="1:8" ht="30" customHeight="1">
      <c r="A33" s="586" t="s">
        <v>45</v>
      </c>
      <c r="B33" s="44" t="s">
        <v>24</v>
      </c>
      <c r="C33" s="214">
        <v>7</v>
      </c>
      <c r="D33" s="17" t="s">
        <v>117</v>
      </c>
      <c r="E33" s="24"/>
      <c r="F33" s="18">
        <v>5</v>
      </c>
      <c r="G33" s="18">
        <v>5</v>
      </c>
      <c r="H33" s="18"/>
    </row>
    <row r="34" spans="1:8" ht="38.1" customHeight="1">
      <c r="A34" s="587"/>
      <c r="B34" s="45" t="s">
        <v>24</v>
      </c>
      <c r="C34" s="217">
        <v>8</v>
      </c>
      <c r="D34" s="20" t="s">
        <v>46</v>
      </c>
      <c r="E34" s="259"/>
      <c r="F34" s="30">
        <v>5</v>
      </c>
      <c r="G34" s="30">
        <v>5</v>
      </c>
      <c r="H34" s="30"/>
    </row>
    <row r="35" spans="1:8" ht="30" customHeight="1">
      <c r="A35" s="588"/>
      <c r="B35" s="47" t="s">
        <v>24</v>
      </c>
      <c r="C35" s="308">
        <v>9</v>
      </c>
      <c r="D35" s="22" t="s">
        <v>119</v>
      </c>
      <c r="E35" s="309"/>
      <c r="F35" s="310">
        <v>5</v>
      </c>
      <c r="G35" s="310">
        <v>5</v>
      </c>
      <c r="H35" s="310"/>
    </row>
    <row r="36" spans="1:8" ht="38.1" customHeight="1">
      <c r="A36" s="704" t="s">
        <v>47</v>
      </c>
      <c r="B36" s="91" t="s">
        <v>24</v>
      </c>
      <c r="C36" s="311">
        <v>10</v>
      </c>
      <c r="D36" s="312" t="s">
        <v>480</v>
      </c>
      <c r="E36" s="313"/>
      <c r="F36" s="21">
        <v>5</v>
      </c>
      <c r="G36" s="21">
        <v>5</v>
      </c>
      <c r="H36" s="21"/>
    </row>
    <row r="37" spans="1:8" ht="50.1" customHeight="1">
      <c r="A37" s="587"/>
      <c r="B37" s="45" t="s">
        <v>24</v>
      </c>
      <c r="C37" s="217">
        <v>11</v>
      </c>
      <c r="D37" s="20" t="s">
        <v>481</v>
      </c>
      <c r="E37" s="259"/>
      <c r="F37" s="30">
        <v>5</v>
      </c>
      <c r="G37" s="30">
        <v>5</v>
      </c>
      <c r="H37" s="30"/>
    </row>
    <row r="38" spans="1:8" ht="50.1" customHeight="1">
      <c r="A38" s="588"/>
      <c r="B38" s="47" t="s">
        <v>24</v>
      </c>
      <c r="C38" s="216">
        <v>12</v>
      </c>
      <c r="D38" s="22" t="s">
        <v>49</v>
      </c>
      <c r="E38" s="27"/>
      <c r="F38" s="23">
        <v>5</v>
      </c>
      <c r="G38" s="23">
        <v>5</v>
      </c>
      <c r="H38" s="23"/>
    </row>
    <row r="39" spans="1:8" ht="53.25" customHeight="1">
      <c r="A39" s="589" t="s">
        <v>526</v>
      </c>
      <c r="B39" s="270" t="s">
        <v>24</v>
      </c>
      <c r="C39" s="271">
        <v>13</v>
      </c>
      <c r="D39" s="272" t="s">
        <v>525</v>
      </c>
      <c r="E39" s="24"/>
      <c r="F39" s="18">
        <v>10</v>
      </c>
      <c r="G39" s="18">
        <v>10</v>
      </c>
      <c r="H39" s="18"/>
    </row>
    <row r="40" spans="1:8" ht="30" customHeight="1">
      <c r="A40" s="589"/>
      <c r="B40" s="270" t="s">
        <v>24</v>
      </c>
      <c r="C40" s="271">
        <v>14</v>
      </c>
      <c r="D40" s="273" t="s">
        <v>452</v>
      </c>
      <c r="E40" s="259"/>
      <c r="F40" s="30">
        <v>10</v>
      </c>
      <c r="G40" s="30">
        <v>10</v>
      </c>
      <c r="H40" s="30"/>
    </row>
    <row r="41" spans="1:8" ht="38.1" customHeight="1">
      <c r="A41" s="589"/>
      <c r="B41" s="270" t="s">
        <v>24</v>
      </c>
      <c r="C41" s="271">
        <v>15</v>
      </c>
      <c r="D41" s="273" t="s">
        <v>453</v>
      </c>
      <c r="E41" s="314"/>
      <c r="F41" s="81">
        <v>10</v>
      </c>
      <c r="G41" s="81">
        <v>10</v>
      </c>
      <c r="H41" s="81"/>
    </row>
    <row r="42" spans="1:8" ht="38.1" customHeight="1">
      <c r="A42" s="589"/>
      <c r="B42" s="270" t="s">
        <v>24</v>
      </c>
      <c r="C42" s="271">
        <v>16</v>
      </c>
      <c r="D42" s="273" t="s">
        <v>485</v>
      </c>
      <c r="E42" s="259"/>
      <c r="F42" s="30">
        <v>10</v>
      </c>
      <c r="G42" s="30">
        <v>10</v>
      </c>
      <c r="H42" s="30"/>
    </row>
    <row r="43" spans="1:8" ht="53.25" customHeight="1">
      <c r="A43" s="589"/>
      <c r="B43" s="270" t="s">
        <v>24</v>
      </c>
      <c r="C43" s="271">
        <v>17</v>
      </c>
      <c r="D43" s="273" t="s">
        <v>486</v>
      </c>
      <c r="E43" s="27"/>
      <c r="F43" s="23">
        <v>20</v>
      </c>
      <c r="G43" s="23">
        <v>20</v>
      </c>
      <c r="H43" s="23"/>
    </row>
    <row r="44" spans="1:8" ht="38.1" customHeight="1">
      <c r="A44" s="600" t="s">
        <v>128</v>
      </c>
      <c r="B44" s="597" t="s">
        <v>24</v>
      </c>
      <c r="C44" s="576">
        <v>18</v>
      </c>
      <c r="D44" s="17" t="s">
        <v>129</v>
      </c>
      <c r="E44" s="630" t="s">
        <v>51</v>
      </c>
      <c r="F44" s="18">
        <v>40</v>
      </c>
      <c r="G44" s="18"/>
      <c r="H44" s="18"/>
    </row>
    <row r="45" spans="1:8" ht="65.099999999999994" customHeight="1">
      <c r="A45" s="601"/>
      <c r="B45" s="428"/>
      <c r="C45" s="577"/>
      <c r="D45" s="20" t="s">
        <v>131</v>
      </c>
      <c r="E45" s="631"/>
      <c r="F45" s="30">
        <v>60</v>
      </c>
      <c r="G45" s="30">
        <v>60</v>
      </c>
      <c r="H45" s="30"/>
    </row>
    <row r="46" spans="1:8" ht="55" customHeight="1">
      <c r="A46" s="632"/>
      <c r="B46" s="598"/>
      <c r="C46" s="578"/>
      <c r="D46" s="22" t="s">
        <v>132</v>
      </c>
      <c r="E46" s="623"/>
      <c r="F46" s="23">
        <v>80</v>
      </c>
      <c r="G46" s="23"/>
      <c r="H46" s="23"/>
    </row>
    <row r="47" spans="1:8" ht="38.1" customHeight="1">
      <c r="A47" s="600" t="s">
        <v>455</v>
      </c>
      <c r="B47" s="597" t="s">
        <v>24</v>
      </c>
      <c r="C47" s="576">
        <v>19</v>
      </c>
      <c r="D47" s="17" t="s">
        <v>134</v>
      </c>
      <c r="E47" s="621" t="s">
        <v>51</v>
      </c>
      <c r="F47" s="315">
        <v>10</v>
      </c>
      <c r="G47" s="315">
        <v>10</v>
      </c>
      <c r="H47" s="315"/>
    </row>
    <row r="48" spans="1:8" ht="38.1" customHeight="1">
      <c r="A48" s="601"/>
      <c r="B48" s="428"/>
      <c r="C48" s="577"/>
      <c r="D48" s="20" t="s">
        <v>135</v>
      </c>
      <c r="E48" s="622"/>
      <c r="F48" s="316">
        <v>20</v>
      </c>
      <c r="G48" s="316"/>
      <c r="H48" s="316"/>
    </row>
    <row r="49" spans="1:8" ht="55" customHeight="1">
      <c r="A49" s="632"/>
      <c r="B49" s="598"/>
      <c r="C49" s="578"/>
      <c r="D49" s="22" t="s">
        <v>487</v>
      </c>
      <c r="E49" s="673"/>
      <c r="F49" s="317">
        <v>30</v>
      </c>
      <c r="G49" s="317"/>
      <c r="H49" s="317"/>
    </row>
    <row r="50" spans="1:8" ht="55" customHeight="1">
      <c r="A50" s="600" t="s">
        <v>457</v>
      </c>
      <c r="B50" s="597" t="s">
        <v>24</v>
      </c>
      <c r="C50" s="576">
        <v>20</v>
      </c>
      <c r="D50" s="274" t="s">
        <v>488</v>
      </c>
      <c r="E50" s="318"/>
      <c r="F50" s="315">
        <v>10</v>
      </c>
      <c r="G50" s="315">
        <v>10</v>
      </c>
      <c r="H50" s="315"/>
    </row>
    <row r="51" spans="1:8" ht="55" customHeight="1">
      <c r="A51" s="601"/>
      <c r="B51" s="428"/>
      <c r="C51" s="577"/>
      <c r="D51" s="276" t="s">
        <v>489</v>
      </c>
      <c r="E51" s="319"/>
      <c r="F51" s="316">
        <v>10</v>
      </c>
      <c r="G51" s="316">
        <v>10</v>
      </c>
      <c r="H51" s="316"/>
    </row>
    <row r="52" spans="1:8" ht="38.1" customHeight="1">
      <c r="A52" s="632"/>
      <c r="B52" s="598"/>
      <c r="C52" s="578"/>
      <c r="D52" s="278" t="s">
        <v>458</v>
      </c>
      <c r="E52" s="320"/>
      <c r="F52" s="317">
        <v>10</v>
      </c>
      <c r="G52" s="317">
        <v>10</v>
      </c>
      <c r="H52" s="317"/>
    </row>
    <row r="53" spans="1:8" ht="38.1" customHeight="1">
      <c r="A53" s="700" t="s">
        <v>141</v>
      </c>
      <c r="B53" s="364" t="s">
        <v>24</v>
      </c>
      <c r="C53" s="702">
        <v>21</v>
      </c>
      <c r="D53" s="17" t="s">
        <v>50</v>
      </c>
      <c r="E53" s="718" t="s">
        <v>51</v>
      </c>
      <c r="F53" s="21">
        <v>10</v>
      </c>
      <c r="G53" s="21"/>
      <c r="H53" s="21"/>
    </row>
    <row r="54" spans="1:8" ht="38.1" customHeight="1">
      <c r="A54" s="700"/>
      <c r="B54" s="364"/>
      <c r="C54" s="702"/>
      <c r="D54" s="20" t="s">
        <v>52</v>
      </c>
      <c r="E54" s="718"/>
      <c r="F54" s="30">
        <v>20</v>
      </c>
      <c r="G54" s="30"/>
      <c r="H54" s="30"/>
    </row>
    <row r="55" spans="1:8" ht="38.1" customHeight="1">
      <c r="A55" s="701"/>
      <c r="B55" s="365"/>
      <c r="C55" s="703"/>
      <c r="D55" s="22" t="s">
        <v>142</v>
      </c>
      <c r="E55" s="719"/>
      <c r="F55" s="23">
        <v>30</v>
      </c>
      <c r="G55" s="23">
        <v>30</v>
      </c>
      <c r="H55" s="23"/>
    </row>
    <row r="56" spans="1:8" ht="55" customHeight="1">
      <c r="A56" s="600" t="s">
        <v>459</v>
      </c>
      <c r="B56" s="597" t="s">
        <v>24</v>
      </c>
      <c r="C56" s="576">
        <v>22</v>
      </c>
      <c r="D56" s="17" t="s">
        <v>490</v>
      </c>
      <c r="E56" s="321"/>
      <c r="F56" s="322">
        <v>10</v>
      </c>
      <c r="G56" s="322">
        <v>10</v>
      </c>
      <c r="H56" s="322"/>
    </row>
    <row r="57" spans="1:8" ht="55" customHeight="1">
      <c r="A57" s="601"/>
      <c r="B57" s="428"/>
      <c r="C57" s="577"/>
      <c r="D57" s="20" t="s">
        <v>460</v>
      </c>
      <c r="E57" s="286"/>
      <c r="F57" s="323">
        <v>10</v>
      </c>
      <c r="G57" s="323">
        <v>10</v>
      </c>
      <c r="H57" s="323"/>
    </row>
    <row r="58" spans="1:8" ht="55" customHeight="1">
      <c r="A58" s="601"/>
      <c r="B58" s="428"/>
      <c r="C58" s="577"/>
      <c r="D58" s="20" t="s">
        <v>461</v>
      </c>
      <c r="E58" s="286"/>
      <c r="F58" s="323">
        <v>10</v>
      </c>
      <c r="G58" s="323">
        <v>10</v>
      </c>
      <c r="H58" s="323"/>
    </row>
    <row r="59" spans="1:8" ht="55" customHeight="1">
      <c r="A59" s="632"/>
      <c r="B59" s="598"/>
      <c r="C59" s="578"/>
      <c r="D59" s="22" t="s">
        <v>491</v>
      </c>
      <c r="E59" s="287"/>
      <c r="F59" s="324">
        <v>20</v>
      </c>
      <c r="G59" s="324">
        <v>20</v>
      </c>
      <c r="H59" s="324"/>
    </row>
    <row r="60" spans="1:8" ht="55" customHeight="1">
      <c r="A60" s="600" t="s">
        <v>462</v>
      </c>
      <c r="B60" s="597" t="s">
        <v>24</v>
      </c>
      <c r="C60" s="576">
        <v>23</v>
      </c>
      <c r="D60" s="17" t="s">
        <v>149</v>
      </c>
      <c r="E60" s="720" t="s">
        <v>51</v>
      </c>
      <c r="F60" s="322">
        <v>10</v>
      </c>
      <c r="G60" s="322"/>
      <c r="H60" s="322"/>
    </row>
    <row r="61" spans="1:8" ht="35.25" customHeight="1">
      <c r="A61" s="601"/>
      <c r="B61" s="428"/>
      <c r="C61" s="577"/>
      <c r="D61" s="20" t="s">
        <v>150</v>
      </c>
      <c r="E61" s="721"/>
      <c r="F61" s="323">
        <v>20</v>
      </c>
      <c r="G61" s="323"/>
      <c r="H61" s="323"/>
    </row>
    <row r="62" spans="1:8" ht="55" customHeight="1">
      <c r="A62" s="601"/>
      <c r="B62" s="428"/>
      <c r="C62" s="577"/>
      <c r="D62" s="20" t="s">
        <v>482</v>
      </c>
      <c r="E62" s="721"/>
      <c r="F62" s="323">
        <v>30</v>
      </c>
      <c r="G62" s="323"/>
      <c r="H62" s="323"/>
    </row>
    <row r="63" spans="1:8" ht="70" customHeight="1">
      <c r="A63" s="601"/>
      <c r="B63" s="428"/>
      <c r="C63" s="577"/>
      <c r="D63" s="20" t="s">
        <v>152</v>
      </c>
      <c r="E63" s="721"/>
      <c r="F63" s="323">
        <v>40</v>
      </c>
      <c r="G63" s="323"/>
      <c r="H63" s="323"/>
    </row>
    <row r="64" spans="1:8" ht="90" customHeight="1">
      <c r="A64" s="632"/>
      <c r="B64" s="598"/>
      <c r="C64" s="578"/>
      <c r="D64" s="281" t="s">
        <v>494</v>
      </c>
      <c r="E64" s="722"/>
      <c r="F64" s="324">
        <v>50</v>
      </c>
      <c r="G64" s="324">
        <v>50</v>
      </c>
      <c r="H64" s="324"/>
    </row>
    <row r="65" spans="1:9" ht="38.1" customHeight="1">
      <c r="A65" s="600" t="s">
        <v>463</v>
      </c>
      <c r="B65" s="597" t="s">
        <v>24</v>
      </c>
      <c r="C65" s="576">
        <v>24</v>
      </c>
      <c r="D65" s="17" t="s">
        <v>492</v>
      </c>
      <c r="E65" s="44"/>
      <c r="F65" s="322">
        <v>20</v>
      </c>
      <c r="G65" s="322">
        <v>20</v>
      </c>
      <c r="H65" s="322"/>
    </row>
    <row r="66" spans="1:9" ht="50.1" customHeight="1">
      <c r="A66" s="601"/>
      <c r="B66" s="428"/>
      <c r="C66" s="577"/>
      <c r="D66" s="20" t="s">
        <v>493</v>
      </c>
      <c r="E66" s="45"/>
      <c r="F66" s="323">
        <v>20</v>
      </c>
      <c r="G66" s="323">
        <v>20</v>
      </c>
      <c r="H66" s="323"/>
    </row>
    <row r="67" spans="1:9" ht="38.1" customHeight="1">
      <c r="A67" s="632"/>
      <c r="B67" s="598"/>
      <c r="C67" s="578"/>
      <c r="D67" s="22" t="s">
        <v>464</v>
      </c>
      <c r="E67" s="47"/>
      <c r="F67" s="324">
        <v>10</v>
      </c>
      <c r="G67" s="324">
        <v>10</v>
      </c>
      <c r="H67" s="324"/>
    </row>
    <row r="68" spans="1:9" ht="48" customHeight="1">
      <c r="A68" s="600" t="s">
        <v>465</v>
      </c>
      <c r="B68" s="44" t="s">
        <v>24</v>
      </c>
      <c r="C68" s="214">
        <v>25</v>
      </c>
      <c r="D68" s="17" t="s">
        <v>495</v>
      </c>
      <c r="E68" s="275"/>
      <c r="F68" s="18">
        <v>10</v>
      </c>
      <c r="G68" s="18">
        <v>10</v>
      </c>
      <c r="H68" s="18"/>
      <c r="I68" s="228"/>
    </row>
    <row r="69" spans="1:9" ht="38.1" customHeight="1">
      <c r="A69" s="601"/>
      <c r="B69" s="45" t="s">
        <v>24</v>
      </c>
      <c r="C69" s="217">
        <v>26</v>
      </c>
      <c r="D69" s="20" t="s">
        <v>496</v>
      </c>
      <c r="E69" s="277"/>
      <c r="F69" s="30">
        <v>10</v>
      </c>
      <c r="G69" s="30">
        <v>10</v>
      </c>
      <c r="H69" s="30"/>
    </row>
    <row r="70" spans="1:9" ht="38.1" customHeight="1">
      <c r="A70" s="601"/>
      <c r="B70" s="45" t="s">
        <v>24</v>
      </c>
      <c r="C70" s="217">
        <v>27</v>
      </c>
      <c r="D70" s="20" t="s">
        <v>497</v>
      </c>
      <c r="E70" s="277"/>
      <c r="F70" s="30">
        <v>10</v>
      </c>
      <c r="G70" s="30">
        <v>10</v>
      </c>
      <c r="H70" s="30"/>
    </row>
    <row r="71" spans="1:9" ht="38.1" customHeight="1">
      <c r="A71" s="632"/>
      <c r="B71" s="47" t="s">
        <v>24</v>
      </c>
      <c r="C71" s="216">
        <v>28</v>
      </c>
      <c r="D71" s="22" t="s">
        <v>498</v>
      </c>
      <c r="E71" s="279"/>
      <c r="F71" s="23">
        <v>10</v>
      </c>
      <c r="G71" s="23">
        <v>10</v>
      </c>
      <c r="H71" s="23"/>
    </row>
    <row r="72" spans="1:9" ht="30" customHeight="1">
      <c r="A72" s="723" t="s">
        <v>53</v>
      </c>
      <c r="B72" s="610" t="s">
        <v>54</v>
      </c>
      <c r="C72" s="611"/>
      <c r="D72" s="611"/>
      <c r="E72" s="282"/>
      <c r="F72" s="283" t="s">
        <v>55</v>
      </c>
      <c r="G72" s="283"/>
      <c r="H72" s="283"/>
    </row>
    <row r="73" spans="1:9" ht="30" customHeight="1">
      <c r="A73" s="724"/>
      <c r="B73" s="612"/>
      <c r="C73" s="613"/>
      <c r="D73" s="613"/>
      <c r="E73" s="284"/>
      <c r="F73" s="285">
        <f>SUM(F74:F81,F84,F85:F87)</f>
        <v>120</v>
      </c>
      <c r="G73" s="285"/>
      <c r="H73" s="285"/>
    </row>
    <row r="74" spans="1:9" ht="50.1" customHeight="1">
      <c r="A74" s="614" t="s">
        <v>165</v>
      </c>
      <c r="B74" s="44" t="s">
        <v>24</v>
      </c>
      <c r="C74" s="214">
        <v>29</v>
      </c>
      <c r="D74" s="17" t="s">
        <v>56</v>
      </c>
      <c r="E74" s="44"/>
      <c r="F74" s="325">
        <v>10</v>
      </c>
      <c r="G74" s="325">
        <v>10</v>
      </c>
      <c r="H74" s="325"/>
    </row>
    <row r="75" spans="1:9" ht="38.1" customHeight="1">
      <c r="A75" s="615"/>
      <c r="B75" s="45" t="s">
        <v>24</v>
      </c>
      <c r="C75" s="217">
        <v>30</v>
      </c>
      <c r="D75" s="20" t="s">
        <v>57</v>
      </c>
      <c r="E75" s="45"/>
      <c r="F75" s="326">
        <v>10</v>
      </c>
      <c r="G75" s="326">
        <v>10</v>
      </c>
      <c r="H75" s="326"/>
    </row>
    <row r="76" spans="1:9" ht="35.1" customHeight="1">
      <c r="A76" s="615"/>
      <c r="B76" s="45" t="s">
        <v>24</v>
      </c>
      <c r="C76" s="217">
        <v>31</v>
      </c>
      <c r="D76" s="20" t="s">
        <v>58</v>
      </c>
      <c r="E76" s="45"/>
      <c r="F76" s="326">
        <v>10</v>
      </c>
      <c r="G76" s="326">
        <v>10</v>
      </c>
      <c r="H76" s="326"/>
    </row>
    <row r="77" spans="1:9" ht="65.099999999999994" customHeight="1">
      <c r="A77" s="615"/>
      <c r="B77" s="45" t="s">
        <v>24</v>
      </c>
      <c r="C77" s="217">
        <v>32</v>
      </c>
      <c r="D77" s="20" t="s">
        <v>59</v>
      </c>
      <c r="E77" s="45"/>
      <c r="F77" s="326">
        <v>10</v>
      </c>
      <c r="G77" s="326">
        <v>10</v>
      </c>
      <c r="H77" s="326"/>
    </row>
    <row r="78" spans="1:9" ht="35.1" customHeight="1">
      <c r="A78" s="615"/>
      <c r="B78" s="45" t="s">
        <v>24</v>
      </c>
      <c r="C78" s="217">
        <v>33</v>
      </c>
      <c r="D78" s="20" t="s">
        <v>60</v>
      </c>
      <c r="E78" s="45"/>
      <c r="F78" s="326">
        <v>5</v>
      </c>
      <c r="G78" s="326">
        <v>5</v>
      </c>
      <c r="H78" s="326"/>
    </row>
    <row r="79" spans="1:9" ht="35.1" customHeight="1">
      <c r="A79" s="616"/>
      <c r="B79" s="47" t="s">
        <v>24</v>
      </c>
      <c r="C79" s="216">
        <v>34</v>
      </c>
      <c r="D79" s="22" t="s">
        <v>61</v>
      </c>
      <c r="E79" s="47"/>
      <c r="F79" s="327">
        <v>5</v>
      </c>
      <c r="G79" s="327"/>
      <c r="H79" s="327"/>
    </row>
    <row r="80" spans="1:9" ht="38.1" customHeight="1">
      <c r="A80" s="614" t="s">
        <v>168</v>
      </c>
      <c r="B80" s="24" t="s">
        <v>24</v>
      </c>
      <c r="C80" s="25">
        <v>35</v>
      </c>
      <c r="D80" s="17" t="s">
        <v>62</v>
      </c>
      <c r="E80" s="44"/>
      <c r="F80" s="18">
        <v>10</v>
      </c>
      <c r="G80" s="18">
        <v>10</v>
      </c>
      <c r="H80" s="18"/>
    </row>
    <row r="81" spans="1:8" ht="38.1" customHeight="1">
      <c r="A81" s="615"/>
      <c r="B81" s="259" t="s">
        <v>24</v>
      </c>
      <c r="C81" s="46">
        <v>36</v>
      </c>
      <c r="D81" s="20" t="s">
        <v>63</v>
      </c>
      <c r="E81" s="45"/>
      <c r="F81" s="30">
        <v>10</v>
      </c>
      <c r="G81" s="30"/>
      <c r="H81" s="30"/>
    </row>
    <row r="82" spans="1:8" ht="30" customHeight="1">
      <c r="A82" s="615"/>
      <c r="B82" s="259" t="s">
        <v>24</v>
      </c>
      <c r="C82" s="46">
        <v>37</v>
      </c>
      <c r="D82" s="20" t="s">
        <v>64</v>
      </c>
      <c r="E82" s="636" t="s">
        <v>483</v>
      </c>
      <c r="F82" s="30">
        <v>10</v>
      </c>
      <c r="G82" s="30"/>
      <c r="H82" s="30"/>
    </row>
    <row r="83" spans="1:8" ht="50.1" customHeight="1">
      <c r="A83" s="615"/>
      <c r="B83" s="259" t="s">
        <v>24</v>
      </c>
      <c r="C83" s="46">
        <v>38</v>
      </c>
      <c r="D83" s="20" t="s">
        <v>527</v>
      </c>
      <c r="E83" s="636"/>
      <c r="F83" s="30">
        <v>15</v>
      </c>
      <c r="G83" s="30"/>
      <c r="H83" s="30"/>
    </row>
    <row r="84" spans="1:8" ht="38.1" customHeight="1">
      <c r="A84" s="616"/>
      <c r="B84" s="27" t="s">
        <v>24</v>
      </c>
      <c r="C84" s="28">
        <v>39</v>
      </c>
      <c r="D84" s="22" t="s">
        <v>66</v>
      </c>
      <c r="E84" s="637"/>
      <c r="F84" s="23">
        <v>20</v>
      </c>
      <c r="G84" s="23"/>
      <c r="H84" s="23"/>
    </row>
    <row r="85" spans="1:8" ht="38.1" customHeight="1">
      <c r="A85" s="666" t="s">
        <v>171</v>
      </c>
      <c r="B85" s="44" t="s">
        <v>24</v>
      </c>
      <c r="C85" s="214">
        <v>40</v>
      </c>
      <c r="D85" s="17" t="s">
        <v>67</v>
      </c>
      <c r="E85" s="44"/>
      <c r="F85" s="328">
        <v>10</v>
      </c>
      <c r="G85" s="328"/>
      <c r="H85" s="328"/>
    </row>
    <row r="86" spans="1:8" ht="38.1" customHeight="1">
      <c r="A86" s="667"/>
      <c r="B86" s="45" t="s">
        <v>24</v>
      </c>
      <c r="C86" s="217">
        <v>41</v>
      </c>
      <c r="D86" s="20" t="s">
        <v>68</v>
      </c>
      <c r="E86" s="45"/>
      <c r="F86" s="329">
        <v>10</v>
      </c>
      <c r="G86" s="329"/>
      <c r="H86" s="329"/>
    </row>
    <row r="87" spans="1:8" ht="38.1" customHeight="1">
      <c r="A87" s="668"/>
      <c r="B87" s="47" t="s">
        <v>24</v>
      </c>
      <c r="C87" s="216">
        <v>42</v>
      </c>
      <c r="D87" s="22" t="s">
        <v>69</v>
      </c>
      <c r="E87" s="47"/>
      <c r="F87" s="310">
        <v>10</v>
      </c>
      <c r="G87" s="310"/>
      <c r="H87" s="310"/>
    </row>
    <row r="88" spans="1:8" ht="30" customHeight="1">
      <c r="A88" s="669" t="s">
        <v>70</v>
      </c>
      <c r="B88" s="643" t="s">
        <v>71</v>
      </c>
      <c r="C88" s="644"/>
      <c r="D88" s="644"/>
      <c r="E88" s="288"/>
      <c r="F88" s="289" t="s">
        <v>55</v>
      </c>
      <c r="G88" s="289"/>
      <c r="H88" s="289"/>
    </row>
    <row r="89" spans="1:8" ht="30" customHeight="1">
      <c r="A89" s="670"/>
      <c r="B89" s="645"/>
      <c r="C89" s="646"/>
      <c r="D89" s="646"/>
      <c r="E89" s="290"/>
      <c r="F89" s="291">
        <f>SUM(F90:F102)</f>
        <v>100</v>
      </c>
      <c r="G89" s="291"/>
      <c r="H89" s="291"/>
    </row>
    <row r="90" spans="1:8" ht="38.1" customHeight="1">
      <c r="A90" s="603" t="s">
        <v>173</v>
      </c>
      <c r="B90" s="44" t="s">
        <v>24</v>
      </c>
      <c r="C90" s="58">
        <v>43</v>
      </c>
      <c r="D90" s="330" t="s">
        <v>174</v>
      </c>
      <c r="E90" s="44"/>
      <c r="F90" s="18">
        <v>5</v>
      </c>
      <c r="G90" s="18">
        <v>5</v>
      </c>
      <c r="H90" s="18"/>
    </row>
    <row r="91" spans="1:8" ht="30" customHeight="1">
      <c r="A91" s="604"/>
      <c r="B91" s="45" t="s">
        <v>24</v>
      </c>
      <c r="C91" s="46">
        <v>44</v>
      </c>
      <c r="D91" s="20" t="s">
        <v>72</v>
      </c>
      <c r="E91" s="45"/>
      <c r="F91" s="30">
        <v>5</v>
      </c>
      <c r="G91" s="30">
        <v>5</v>
      </c>
      <c r="H91" s="30"/>
    </row>
    <row r="92" spans="1:8" ht="38.1" customHeight="1">
      <c r="A92" s="604"/>
      <c r="B92" s="45" t="s">
        <v>24</v>
      </c>
      <c r="C92" s="92">
        <v>45</v>
      </c>
      <c r="D92" s="50" t="s">
        <v>466</v>
      </c>
      <c r="E92" s="45"/>
      <c r="F92" s="30">
        <v>10</v>
      </c>
      <c r="G92" s="30">
        <v>10</v>
      </c>
      <c r="H92" s="30"/>
    </row>
    <row r="93" spans="1:8" ht="38.1" customHeight="1">
      <c r="A93" s="605"/>
      <c r="B93" s="47" t="s">
        <v>24</v>
      </c>
      <c r="C93" s="28">
        <v>46</v>
      </c>
      <c r="D93" s="22" t="s">
        <v>73</v>
      </c>
      <c r="E93" s="47"/>
      <c r="F93" s="23">
        <v>10</v>
      </c>
      <c r="G93" s="23">
        <v>5</v>
      </c>
      <c r="H93" s="23"/>
    </row>
    <row r="94" spans="1:8" ht="38.1" customHeight="1">
      <c r="A94" s="603" t="s">
        <v>467</v>
      </c>
      <c r="B94" s="44" t="s">
        <v>24</v>
      </c>
      <c r="C94" s="25">
        <v>47</v>
      </c>
      <c r="D94" s="17" t="s">
        <v>74</v>
      </c>
      <c r="E94" s="44"/>
      <c r="F94" s="18">
        <v>10</v>
      </c>
      <c r="G94" s="18">
        <v>10</v>
      </c>
      <c r="H94" s="18"/>
    </row>
    <row r="95" spans="1:8" ht="38.1" customHeight="1">
      <c r="A95" s="604"/>
      <c r="B95" s="45" t="s">
        <v>24</v>
      </c>
      <c r="C95" s="46">
        <v>48</v>
      </c>
      <c r="D95" s="20" t="s">
        <v>75</v>
      </c>
      <c r="E95" s="45"/>
      <c r="F95" s="30">
        <v>10</v>
      </c>
      <c r="G95" s="30">
        <v>10</v>
      </c>
      <c r="H95" s="30"/>
    </row>
    <row r="96" spans="1:8" ht="30" customHeight="1">
      <c r="A96" s="604"/>
      <c r="B96" s="45" t="s">
        <v>24</v>
      </c>
      <c r="C96" s="92">
        <v>49</v>
      </c>
      <c r="D96" s="20" t="s">
        <v>76</v>
      </c>
      <c r="E96" s="45"/>
      <c r="F96" s="30">
        <v>10</v>
      </c>
      <c r="G96" s="30">
        <v>10</v>
      </c>
      <c r="H96" s="30"/>
    </row>
    <row r="97" spans="1:8" ht="30" customHeight="1">
      <c r="A97" s="605"/>
      <c r="B97" s="47" t="s">
        <v>24</v>
      </c>
      <c r="C97" s="28">
        <v>50</v>
      </c>
      <c r="D97" s="22" t="s">
        <v>77</v>
      </c>
      <c r="E97" s="47"/>
      <c r="F97" s="23">
        <v>10</v>
      </c>
      <c r="G97" s="23">
        <v>10</v>
      </c>
      <c r="H97" s="23"/>
    </row>
    <row r="98" spans="1:8" ht="38.1" customHeight="1">
      <c r="A98" s="603" t="s">
        <v>178</v>
      </c>
      <c r="B98" s="44" t="s">
        <v>24</v>
      </c>
      <c r="C98" s="25">
        <v>51</v>
      </c>
      <c r="D98" s="330" t="s">
        <v>484</v>
      </c>
      <c r="E98" s="44"/>
      <c r="F98" s="18">
        <v>5</v>
      </c>
      <c r="G98" s="18">
        <v>5</v>
      </c>
      <c r="H98" s="18"/>
    </row>
    <row r="99" spans="1:8" ht="25" customHeight="1">
      <c r="A99" s="606"/>
      <c r="B99" s="45" t="s">
        <v>24</v>
      </c>
      <c r="C99" s="46">
        <v>52</v>
      </c>
      <c r="D99" s="20" t="s">
        <v>78</v>
      </c>
      <c r="E99" s="45"/>
      <c r="F99" s="30">
        <v>5</v>
      </c>
      <c r="G99" s="30">
        <v>5</v>
      </c>
      <c r="H99" s="30"/>
    </row>
    <row r="100" spans="1:8" ht="50.1" customHeight="1">
      <c r="A100" s="606"/>
      <c r="B100" s="45" t="s">
        <v>24</v>
      </c>
      <c r="C100" s="92">
        <v>53</v>
      </c>
      <c r="D100" s="20" t="s">
        <v>79</v>
      </c>
      <c r="E100" s="45"/>
      <c r="F100" s="30">
        <v>10</v>
      </c>
      <c r="G100" s="30">
        <v>10</v>
      </c>
      <c r="H100" s="30"/>
    </row>
    <row r="101" spans="1:8" ht="38.1" customHeight="1">
      <c r="A101" s="606"/>
      <c r="B101" s="45" t="s">
        <v>24</v>
      </c>
      <c r="C101" s="46">
        <v>54</v>
      </c>
      <c r="D101" s="20" t="s">
        <v>80</v>
      </c>
      <c r="E101" s="45"/>
      <c r="F101" s="30">
        <v>5</v>
      </c>
      <c r="G101" s="30">
        <v>5</v>
      </c>
      <c r="H101" s="30"/>
    </row>
    <row r="102" spans="1:8" ht="38.1" customHeight="1">
      <c r="A102" s="607"/>
      <c r="B102" s="47" t="s">
        <v>24</v>
      </c>
      <c r="C102" s="28">
        <v>55</v>
      </c>
      <c r="D102" s="22" t="s">
        <v>81</v>
      </c>
      <c r="E102" s="47"/>
      <c r="F102" s="23">
        <v>5</v>
      </c>
      <c r="G102" s="23">
        <v>5</v>
      </c>
      <c r="H102" s="23"/>
    </row>
    <row r="103" spans="1:8" ht="30" customHeight="1">
      <c r="A103" s="671" t="s">
        <v>82</v>
      </c>
      <c r="B103" s="617" t="s">
        <v>83</v>
      </c>
      <c r="C103" s="618"/>
      <c r="D103" s="618"/>
      <c r="E103" s="292"/>
      <c r="F103" s="293" t="s">
        <v>55</v>
      </c>
      <c r="G103" s="293"/>
      <c r="H103" s="293"/>
    </row>
    <row r="104" spans="1:8" ht="30" customHeight="1">
      <c r="A104" s="672"/>
      <c r="B104" s="619"/>
      <c r="C104" s="620"/>
      <c r="D104" s="620"/>
      <c r="E104" s="294"/>
      <c r="F104" s="295">
        <f>SUM(F105:F114,F121)</f>
        <v>150</v>
      </c>
      <c r="G104" s="295"/>
      <c r="H104" s="295"/>
    </row>
    <row r="105" spans="1:8" ht="38.1" customHeight="1">
      <c r="A105" s="649" t="s">
        <v>181</v>
      </c>
      <c r="B105" s="44" t="s">
        <v>24</v>
      </c>
      <c r="C105" s="25">
        <v>56</v>
      </c>
      <c r="D105" s="17" t="s">
        <v>84</v>
      </c>
      <c r="E105" s="44"/>
      <c r="F105" s="18">
        <v>10</v>
      </c>
      <c r="G105" s="18">
        <v>10</v>
      </c>
      <c r="H105" s="18"/>
    </row>
    <row r="106" spans="1:8" ht="50.1" customHeight="1">
      <c r="A106" s="650"/>
      <c r="B106" s="45" t="s">
        <v>24</v>
      </c>
      <c r="C106" s="46">
        <v>57</v>
      </c>
      <c r="D106" s="20" t="s">
        <v>85</v>
      </c>
      <c r="E106" s="45"/>
      <c r="F106" s="30">
        <v>10</v>
      </c>
      <c r="G106" s="30">
        <v>10</v>
      </c>
      <c r="H106" s="30"/>
    </row>
    <row r="107" spans="1:8" ht="50.1" customHeight="1">
      <c r="A107" s="650"/>
      <c r="B107" s="45" t="s">
        <v>24</v>
      </c>
      <c r="C107" s="46">
        <v>58</v>
      </c>
      <c r="D107" s="20" t="s">
        <v>86</v>
      </c>
      <c r="E107" s="45"/>
      <c r="F107" s="30">
        <v>10</v>
      </c>
      <c r="G107" s="30">
        <v>5</v>
      </c>
      <c r="H107" s="30"/>
    </row>
    <row r="108" spans="1:8" ht="38.1" customHeight="1">
      <c r="A108" s="651"/>
      <c r="B108" s="47" t="s">
        <v>24</v>
      </c>
      <c r="C108" s="28">
        <v>59</v>
      </c>
      <c r="D108" s="22" t="s">
        <v>87</v>
      </c>
      <c r="E108" s="47"/>
      <c r="F108" s="23">
        <v>10</v>
      </c>
      <c r="G108" s="23">
        <v>10</v>
      </c>
      <c r="H108" s="23"/>
    </row>
    <row r="109" spans="1:8" ht="38.1" customHeight="1">
      <c r="A109" s="652" t="s">
        <v>468</v>
      </c>
      <c r="B109" s="44" t="s">
        <v>24</v>
      </c>
      <c r="C109" s="25">
        <v>60</v>
      </c>
      <c r="D109" s="17" t="s">
        <v>183</v>
      </c>
      <c r="E109" s="44"/>
      <c r="F109" s="18">
        <v>10</v>
      </c>
      <c r="G109" s="18">
        <v>5</v>
      </c>
      <c r="H109" s="18"/>
    </row>
    <row r="110" spans="1:8" ht="30" customHeight="1">
      <c r="A110" s="653"/>
      <c r="B110" s="45" t="s">
        <v>24</v>
      </c>
      <c r="C110" s="46">
        <v>61</v>
      </c>
      <c r="D110" s="20" t="s">
        <v>88</v>
      </c>
      <c r="E110" s="45"/>
      <c r="F110" s="30">
        <v>10</v>
      </c>
      <c r="G110" s="30">
        <v>5</v>
      </c>
      <c r="H110" s="30"/>
    </row>
    <row r="111" spans="1:8" ht="38.1" customHeight="1">
      <c r="A111" s="654"/>
      <c r="B111" s="47" t="s">
        <v>24</v>
      </c>
      <c r="C111" s="28">
        <v>62</v>
      </c>
      <c r="D111" s="22" t="s">
        <v>89</v>
      </c>
      <c r="E111" s="47"/>
      <c r="F111" s="23">
        <v>10</v>
      </c>
      <c r="G111" s="23">
        <v>5</v>
      </c>
      <c r="H111" s="23"/>
    </row>
    <row r="112" spans="1:8" ht="30" customHeight="1">
      <c r="A112" s="717" t="s">
        <v>469</v>
      </c>
      <c r="B112" s="91" t="s">
        <v>24</v>
      </c>
      <c r="C112" s="92">
        <v>63</v>
      </c>
      <c r="D112" s="67" t="s">
        <v>90</v>
      </c>
      <c r="E112" s="91"/>
      <c r="F112" s="21">
        <v>10</v>
      </c>
      <c r="G112" s="21">
        <v>10</v>
      </c>
      <c r="H112" s="21"/>
    </row>
    <row r="113" spans="1:8" ht="38.1" customHeight="1">
      <c r="A113" s="653"/>
      <c r="B113" s="45" t="s">
        <v>24</v>
      </c>
      <c r="C113" s="46">
        <v>64</v>
      </c>
      <c r="D113" s="20" t="s">
        <v>91</v>
      </c>
      <c r="E113" s="45"/>
      <c r="F113" s="30">
        <v>10</v>
      </c>
      <c r="G113" s="30">
        <v>10</v>
      </c>
      <c r="H113" s="30"/>
    </row>
    <row r="114" spans="1:8" ht="50.1" customHeight="1">
      <c r="A114" s="654"/>
      <c r="B114" s="47" t="s">
        <v>24</v>
      </c>
      <c r="C114" s="28">
        <v>65</v>
      </c>
      <c r="D114" s="22" t="s">
        <v>186</v>
      </c>
      <c r="E114" s="47"/>
      <c r="F114" s="23">
        <v>10</v>
      </c>
      <c r="G114" s="23">
        <v>10</v>
      </c>
      <c r="H114" s="23"/>
    </row>
    <row r="115" spans="1:8" ht="30" customHeight="1">
      <c r="A115" s="657" t="s">
        <v>443</v>
      </c>
      <c r="B115" s="363" t="s">
        <v>24</v>
      </c>
      <c r="C115" s="366">
        <v>66</v>
      </c>
      <c r="D115" s="67" t="s">
        <v>92</v>
      </c>
      <c r="E115" s="663" t="s">
        <v>93</v>
      </c>
      <c r="F115" s="18">
        <v>25</v>
      </c>
      <c r="G115" s="18"/>
      <c r="H115" s="18"/>
    </row>
    <row r="116" spans="1:8" ht="30" customHeight="1">
      <c r="A116" s="658"/>
      <c r="B116" s="364"/>
      <c r="C116" s="367"/>
      <c r="D116" s="20" t="s">
        <v>94</v>
      </c>
      <c r="E116" s="664"/>
      <c r="F116" s="21">
        <v>10</v>
      </c>
      <c r="G116" s="21"/>
      <c r="H116" s="21"/>
    </row>
    <row r="117" spans="1:8" ht="30" customHeight="1">
      <c r="A117" s="658"/>
      <c r="B117" s="364"/>
      <c r="C117" s="367"/>
      <c r="D117" s="20" t="s">
        <v>92</v>
      </c>
      <c r="E117" s="664" t="s">
        <v>95</v>
      </c>
      <c r="F117" s="21">
        <v>35</v>
      </c>
      <c r="G117" s="21"/>
      <c r="H117" s="21"/>
    </row>
    <row r="118" spans="1:8" ht="30" customHeight="1">
      <c r="A118" s="658"/>
      <c r="B118" s="364"/>
      <c r="C118" s="367"/>
      <c r="D118" s="20" t="s">
        <v>96</v>
      </c>
      <c r="E118" s="664"/>
      <c r="F118" s="30">
        <v>15</v>
      </c>
      <c r="G118" s="30"/>
      <c r="H118" s="30"/>
    </row>
    <row r="119" spans="1:8" ht="30" customHeight="1">
      <c r="A119" s="658"/>
      <c r="B119" s="364"/>
      <c r="C119" s="367"/>
      <c r="D119" s="20" t="s">
        <v>92</v>
      </c>
      <c r="E119" s="664" t="s">
        <v>97</v>
      </c>
      <c r="F119" s="30">
        <v>45</v>
      </c>
      <c r="G119" s="30">
        <v>45</v>
      </c>
      <c r="H119" s="30"/>
    </row>
    <row r="120" spans="1:8" ht="30" customHeight="1">
      <c r="A120" s="658"/>
      <c r="B120" s="364"/>
      <c r="C120" s="367"/>
      <c r="D120" s="20" t="s">
        <v>96</v>
      </c>
      <c r="E120" s="664"/>
      <c r="F120" s="30">
        <v>20</v>
      </c>
      <c r="G120" s="30"/>
      <c r="H120" s="30"/>
    </row>
    <row r="121" spans="1:8" ht="30" customHeight="1">
      <c r="A121" s="658"/>
      <c r="B121" s="364"/>
      <c r="C121" s="367"/>
      <c r="D121" s="20" t="s">
        <v>92</v>
      </c>
      <c r="E121" s="664" t="s">
        <v>98</v>
      </c>
      <c r="F121" s="68">
        <v>50</v>
      </c>
      <c r="G121" s="68"/>
      <c r="H121" s="68"/>
    </row>
    <row r="122" spans="1:8" ht="30" customHeight="1">
      <c r="A122" s="659"/>
      <c r="B122" s="365"/>
      <c r="C122" s="368"/>
      <c r="D122" s="22" t="s">
        <v>96</v>
      </c>
      <c r="E122" s="665"/>
      <c r="F122" s="23">
        <v>25</v>
      </c>
      <c r="G122" s="23"/>
      <c r="H122" s="23"/>
    </row>
    <row r="123" spans="1:8" ht="30" customHeight="1">
      <c r="A123" s="655" t="s">
        <v>533</v>
      </c>
      <c r="B123" s="656"/>
      <c r="C123" s="656"/>
      <c r="D123" s="656"/>
      <c r="E123" s="656"/>
      <c r="F123" s="656"/>
      <c r="G123" s="5"/>
      <c r="H123" s="5"/>
    </row>
    <row r="124" spans="1:8" ht="20.100000000000001" customHeight="1">
      <c r="A124" s="1" t="s">
        <v>99</v>
      </c>
      <c r="B124" s="2"/>
      <c r="C124" s="2"/>
      <c r="D124" s="3"/>
      <c r="E124" s="2"/>
      <c r="F124" s="4"/>
      <c r="G124" s="5"/>
      <c r="H124" s="5"/>
    </row>
    <row r="125" spans="1:8" ht="20.100000000000001" customHeight="1">
      <c r="A125" s="1" t="s">
        <v>100</v>
      </c>
      <c r="B125" s="2"/>
      <c r="C125" s="2"/>
      <c r="D125" s="3"/>
      <c r="E125" s="2"/>
      <c r="F125" s="4"/>
      <c r="G125" s="5"/>
      <c r="H125" s="5"/>
    </row>
    <row r="126" spans="1:8" ht="20.100000000000001" customHeight="1">
      <c r="A126" s="296" t="s">
        <v>101</v>
      </c>
      <c r="B126" s="2"/>
      <c r="C126" s="2"/>
      <c r="D126" s="3"/>
      <c r="E126" s="297" t="s">
        <v>102</v>
      </c>
      <c r="F126" s="4"/>
      <c r="G126" s="5"/>
      <c r="H126" s="5"/>
    </row>
    <row r="127" spans="1:8" ht="20.100000000000001" customHeight="1">
      <c r="A127" s="296" t="s">
        <v>103</v>
      </c>
      <c r="B127" s="2"/>
      <c r="C127" s="2"/>
      <c r="D127" s="3"/>
      <c r="E127" s="297" t="s">
        <v>104</v>
      </c>
      <c r="F127" s="4"/>
      <c r="G127" s="5"/>
      <c r="H127" s="5"/>
    </row>
  </sheetData>
  <mergeCells count="92">
    <mergeCell ref="A112:A114"/>
    <mergeCell ref="A115:A122"/>
    <mergeCell ref="B115:B122"/>
    <mergeCell ref="C115:C122"/>
    <mergeCell ref="E53:E55"/>
    <mergeCell ref="E60:E64"/>
    <mergeCell ref="A74:A79"/>
    <mergeCell ref="A105:A108"/>
    <mergeCell ref="A109:A111"/>
    <mergeCell ref="A65:A67"/>
    <mergeCell ref="B65:B67"/>
    <mergeCell ref="C65:C67"/>
    <mergeCell ref="A68:A71"/>
    <mergeCell ref="A72:A73"/>
    <mergeCell ref="B72:D73"/>
    <mergeCell ref="A56:A59"/>
    <mergeCell ref="E26:E28"/>
    <mergeCell ref="A33:A35"/>
    <mergeCell ref="A29:A30"/>
    <mergeCell ref="B29:B30"/>
    <mergeCell ref="C29:C30"/>
    <mergeCell ref="E29:E30"/>
    <mergeCell ref="A31:A32"/>
    <mergeCell ref="B31:D32"/>
    <mergeCell ref="A14:E14"/>
    <mergeCell ref="G14:G15"/>
    <mergeCell ref="H14:H15"/>
    <mergeCell ref="A15:E15"/>
    <mergeCell ref="A16:E16"/>
    <mergeCell ref="G16:G17"/>
    <mergeCell ref="H16:H17"/>
    <mergeCell ref="A17:E17"/>
    <mergeCell ref="B56:B59"/>
    <mergeCell ref="C56:C59"/>
    <mergeCell ref="A60:A64"/>
    <mergeCell ref="B60:B64"/>
    <mergeCell ref="C60:C64"/>
    <mergeCell ref="A24:A25"/>
    <mergeCell ref="A26:A28"/>
    <mergeCell ref="B26:B28"/>
    <mergeCell ref="C26:C28"/>
    <mergeCell ref="A53:A55"/>
    <mergeCell ref="B53:B55"/>
    <mergeCell ref="C53:C55"/>
    <mergeCell ref="A47:A49"/>
    <mergeCell ref="B47:B49"/>
    <mergeCell ref="C47:C49"/>
    <mergeCell ref="A36:A38"/>
    <mergeCell ref="A39:A43"/>
    <mergeCell ref="B18:E19"/>
    <mergeCell ref="A20:A23"/>
    <mergeCell ref="B20:B21"/>
    <mergeCell ref="C20:C21"/>
    <mergeCell ref="E20:E21"/>
    <mergeCell ref="B22:B23"/>
    <mergeCell ref="C22:C23"/>
    <mergeCell ref="E22:E23"/>
    <mergeCell ref="A18:A19"/>
    <mergeCell ref="C8:F8"/>
    <mergeCell ref="C9:F10"/>
    <mergeCell ref="A11:E11"/>
    <mergeCell ref="G11:H13"/>
    <mergeCell ref="A12:E12"/>
    <mergeCell ref="A13:E13"/>
    <mergeCell ref="A2:F2"/>
    <mergeCell ref="C4:F4"/>
    <mergeCell ref="C5:F5"/>
    <mergeCell ref="C6:F6"/>
    <mergeCell ref="C7:F7"/>
    <mergeCell ref="E44:E46"/>
    <mergeCell ref="E47:E49"/>
    <mergeCell ref="A50:A52"/>
    <mergeCell ref="B50:B52"/>
    <mergeCell ref="C50:C52"/>
    <mergeCell ref="A44:A46"/>
    <mergeCell ref="B44:B46"/>
    <mergeCell ref="C44:C46"/>
    <mergeCell ref="A90:A93"/>
    <mergeCell ref="A94:A97"/>
    <mergeCell ref="A98:A102"/>
    <mergeCell ref="A103:A104"/>
    <mergeCell ref="B103:D104"/>
    <mergeCell ref="A80:A84"/>
    <mergeCell ref="E82:E84"/>
    <mergeCell ref="A85:A87"/>
    <mergeCell ref="A88:A89"/>
    <mergeCell ref="B88:D89"/>
    <mergeCell ref="E115:E116"/>
    <mergeCell ref="E117:E118"/>
    <mergeCell ref="E119:E120"/>
    <mergeCell ref="E121:E122"/>
    <mergeCell ref="A123:F123"/>
  </mergeCells>
  <pageMargins left="0.28000000000000003" right="0.1" top="0.25" bottom="0.17" header="0.17" footer="0.17"/>
  <pageSetup paperSize="9" scale="98" fitToHeight="0"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1. Bảng năng lực ĐD</vt:lpstr>
      <vt:lpstr>2. Tiêu chuẩn bắt buộc</vt:lpstr>
      <vt:lpstr>3. HD đánh giá chi tiết ĐD</vt:lpstr>
      <vt:lpstr>4. Tiêu chuẩn năng lực - ĐDNS</vt:lpstr>
      <vt:lpstr>5. Tự đánh giá năng lực - ĐD NS</vt:lpstr>
      <vt:lpstr>'3. HD đánh giá chi tiết ĐD'!Print_Area</vt:lpstr>
      <vt:lpstr>'4. Tiêu chuẩn năng lực - ĐDNS'!Print_Area</vt:lpstr>
    </vt:vector>
  </TitlesOfParts>
  <Company>umc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 Thi Cam Nhung</dc:creator>
  <cp:lastModifiedBy>Nguyen Thi Kim Quyen (Khoa TMH-CS2)</cp:lastModifiedBy>
  <dcterms:created xsi:type="dcterms:W3CDTF">2023-06-05T00:57:28Z</dcterms:created>
  <dcterms:modified xsi:type="dcterms:W3CDTF">2026-09-12T06:08:54Z</dcterms:modified>
</cp:coreProperties>
</file>