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C:\Users\Quyen\Desktop\tiêu chuẩn đánh giá năng lực\"/>
    </mc:Choice>
  </mc:AlternateContent>
  <xr:revisionPtr revIDLastSave="0" documentId="8_{A9A1C871-64DB-4DE1-94CE-84FD63C7EA0F}" xr6:coauthVersionLast="47" xr6:coauthVersionMax="47" xr10:uidLastSave="{00000000-0000-0000-0000-000000000000}"/>
  <bookViews>
    <workbookView xWindow="-96" yWindow="-96" windowWidth="17472" windowHeight="10392" tabRatio="723" activeTab="2" xr2:uid="{00000000-000D-0000-FFFF-FFFF00000000}"/>
  </bookViews>
  <sheets>
    <sheet name="Tự đánh giá năng lực-ĐD KB" sheetId="22" r:id="rId1"/>
    <sheet name="Tiêu chuẩn năng lực - ĐDKB xong" sheetId="20" r:id="rId2"/>
    <sheet name="Hướng dẫn đánh giá chi tiết xon" sheetId="8" r:id="rId3"/>
    <sheet name="2. Tiêu chuẩn bắt buộc xong" sheetId="21" r:id="rId4"/>
    <sheet name="VAN BANG" sheetId="1" state="hidden" r:id="rId5"/>
    <sheet name="CHUYEN MON" sheetId="11" state="hidden" r:id="rId6"/>
    <sheet name="DAO TAO-NCKH" sheetId="13" state="hidden" r:id="rId7"/>
    <sheet name="LANH DAO&amp;QUAN LY" sheetId="12" state="hidden" r:id="rId8"/>
    <sheet name="PHÁT TRIEN CA NHAN" sheetId="7" state="hidden" r:id="rId9"/>
    <sheet name="ĐDT" sheetId="5" state="hidden" r:id="rId10"/>
    <sheet name="ĐDV" sheetId="9" state="hidden" r:id="rId11"/>
    <sheet name="THÂM NIÊN" sheetId="10" state="hidden" r:id="rId12"/>
  </sheets>
  <definedNames>
    <definedName name="_xlnm.Print_Area" localSheetId="5">'CHUYEN MON'!$A$6:$E$48</definedName>
    <definedName name="_xlnm.Print_Area" localSheetId="2">'Hướng dẫn đánh giá chi tiết xon'!$A$1:$K$58</definedName>
    <definedName name="_xlnm.Print_Area" localSheetId="1">'Tiêu chuẩn năng lực - ĐDKB xong'!$A:$F</definedName>
    <definedName name="_xlnm.Print_Area" localSheetId="0">'Tự đánh giá năng lực-ĐD KB'!$A:$F</definedName>
    <definedName name="_xlnm.Print_Area" localSheetId="4">'VAN BANG'!$A$6:$E$24</definedName>
  </definedNames>
  <calcPr calcId="191029"/>
</workbook>
</file>

<file path=xl/calcChain.xml><?xml version="1.0" encoding="utf-8"?>
<calcChain xmlns="http://schemas.openxmlformats.org/spreadsheetml/2006/main">
  <c r="F97" i="22" l="1"/>
  <c r="F82" i="22"/>
  <c r="F66" i="22"/>
  <c r="F35" i="22"/>
  <c r="F94" i="8" l="1"/>
  <c r="F79" i="8"/>
  <c r="F60" i="8"/>
  <c r="F104" i="20"/>
  <c r="F89" i="20"/>
  <c r="F73" i="20"/>
  <c r="F42" i="20"/>
  <c r="F29" i="8" l="1"/>
  <c r="E8" i="7"/>
  <c r="E8" i="12"/>
  <c r="E13" i="12"/>
  <c r="E18" i="12"/>
  <c r="E8" i="13"/>
  <c r="E15" i="13"/>
  <c r="E7" i="13" s="1"/>
  <c r="E21" i="13"/>
  <c r="E54" i="11"/>
  <c r="E49" i="11"/>
  <c r="E43" i="11"/>
  <c r="E38" i="11"/>
  <c r="E34" i="11"/>
  <c r="E30" i="11"/>
  <c r="E22" i="11"/>
  <c r="E26" i="11"/>
  <c r="E8" i="11"/>
  <c r="E8" i="1"/>
  <c r="E15" i="1"/>
  <c r="E18" i="1"/>
  <c r="E22" i="1"/>
  <c r="E12" i="11"/>
  <c r="E7" i="11" s="1"/>
  <c r="E16" i="11"/>
  <c r="E21" i="7"/>
  <c r="E13" i="7"/>
  <c r="E17" i="7"/>
  <c r="F7" i="13"/>
  <c r="B7" i="10"/>
  <c r="D7" i="10"/>
  <c r="E7" i="10"/>
  <c r="E49" i="9"/>
  <c r="C49" i="9"/>
  <c r="E8" i="9"/>
  <c r="E7" i="9" s="1"/>
  <c r="C8" i="9"/>
  <c r="D7" i="9"/>
  <c r="C7" i="9"/>
  <c r="E7" i="5"/>
  <c r="D7" i="5"/>
  <c r="C7" i="5"/>
  <c r="E7" i="12" l="1"/>
  <c r="E7" i="7"/>
  <c r="E7" i="1"/>
</calcChain>
</file>

<file path=xl/sharedStrings.xml><?xml version="1.0" encoding="utf-8"?>
<sst xmlns="http://schemas.openxmlformats.org/spreadsheetml/2006/main" count="1558" uniqueCount="619">
  <si>
    <t>TIÊU CHÍ</t>
  </si>
  <si>
    <t>HƯỚNG DẪN</t>
  </si>
  <si>
    <t>ĐHYD TP HCM</t>
  </si>
  <si>
    <t>Tiến sĩ</t>
  </si>
  <si>
    <t>Việt Nam</t>
  </si>
  <si>
    <t>Nước ngoài</t>
  </si>
  <si>
    <t>Lập và tổ chức công tác chăm sóc NB</t>
  </si>
  <si>
    <t>Tổ chức, điều phối, phân công công việc một cách khoa học, hợp lý và hiệu quả</t>
  </si>
  <si>
    <t>Đảm bảo cung cấp dịch vụ chăm sóc hiệu quả và an toàn</t>
  </si>
  <si>
    <t>Đảm bảo nhân viên thực hiện các quy trình kỹ thuật chuyên môn</t>
  </si>
  <si>
    <t>Đảm bảo an toàn trong sử dụng thuốc cho NB</t>
  </si>
  <si>
    <t>Quản lý nguồn nhân lực</t>
  </si>
  <si>
    <t>Lập kế hoạch quản lý và phát triển nhân lực</t>
  </si>
  <si>
    <t>Có kế hoạch phát triển nguồn nhân lực tại khoa hàng năm phù hợp với sự phát triển của BV</t>
  </si>
  <si>
    <t>Kế hoạch có đề cập đầy đủ các nội dung liên quan đến tuyển dụng, sử dụng, đào tạo liên tục và duy trì, phát triển nguồn nhân lực.</t>
  </si>
  <si>
    <t>Triển khai và thực hiện các nội dung trong bảng kế hoạch phát triển nhân lực y tế theo lộ trình đã đề ra và có ít nhất 50% chỉ tiêu đạt được theo kế hoạch.</t>
  </si>
  <si>
    <t>Có ít nhất 75% chỉ tiêu đạt được theo kế hoạch phát triển nhân lực y tế và xây dựng các giải pháp khắc phục mục tiêu chưa hoàn thành.</t>
  </si>
  <si>
    <t>Đạt được ít nhất 90% chỉ tiêu theo kế hoạch phát triển nhân lực y tế. Cập nhật, bổ sung, cải tiến bản kế hoạch phát triển nhân lực y tế hàng năm dựa trên kết quả đánh giá việc thực hiện kế hoạch phát triển nhân lực y tế.</t>
  </si>
  <si>
    <t>Đảm bảo và duy trì ổn định nguồn nhân lực cho hoạt động của khoa</t>
  </si>
  <si>
    <t>Đảm bảo đủ nhân sự phục vụ cho NB trong hoạt động hàng ngày.</t>
  </si>
  <si>
    <t>Theo dõi các chỉ số về nhân lực: tỷ lệ BS/ĐD, tỷ lệ ĐD/NB, tỷ lệ NB theo từng phân cấp chăm sóc.</t>
  </si>
  <si>
    <t>Tính toán, dự báo được nhu cầu nhân lực cần bổ sung, thay thế số người sẽ về hưu và có kế hoạch bổ sung, tuyển dụng cụ thể cho các vị trí đó.</t>
  </si>
  <si>
    <t>Bản mô tả công việc của các chức danh nghề nghiệp được cập nhật định kỳ ít nhất 2 năm 1 lần và khi cần.</t>
  </si>
  <si>
    <t>Mỗi năm có tiến hành đánh giá kết quả thực hiện công việc hàng năm của các vị trí việc làm và tiến hành chỉnh sửa, bổ sung các vị trí việc làm dựa trên kết quả đánh giá</t>
  </si>
  <si>
    <t>Nhân lực y tế được đào tạo liên tục và phát triển kỹ năng nghề nghiệp</t>
  </si>
  <si>
    <t>Kế hoạch đào tạo: gồm đào tạo liên tục về cập nhật kiến thức, phát triển kỹ năng nghề nghiệp, nâng cao trình độ chuyên môn (bằng cấp) cho nhân viên phù hợp với phát triển chuyên môn của BV.</t>
  </si>
  <si>
    <t>Có từ 20% nhân viên trở lên được đào tạo liên tục ít nhất 12 tiết học trở lên trong năm.</t>
  </si>
  <si>
    <t>Có hình thức khuyến khích, thúc đẩy nhân viên tham gia các chương trình đào tạo liên tục, hội nghị khoa học trong và ngoài bệnh viện.</t>
  </si>
  <si>
    <t>Có đánh giá chất lượng đào tạo liên tục tại khoa hàng năm, chỉ ra những mặt còn hạn chế và đưa ra giải pháp khắc phục.</t>
  </si>
  <si>
    <t>Có kế hoạch đào tạo liên tục cho nhân viên hàng năm và trong năm có nhân viên y tế không tham gia chương trình đào tạo liên tục.</t>
  </si>
  <si>
    <t>Tạo môi trường làm việc tích cực và nâng cao trình độ chuyên môn</t>
  </si>
  <si>
    <t>Không có đơn khiếu nại của nhân viên về các hiện tượng tiêu cực, mất đoàn kết trong khoa/ đơn vị.</t>
  </si>
  <si>
    <t>Có hình thức động viên, khuyến khích nhân viên đa dạng (bằng tiền, hiện vật, danh hiệu, cơ hội đi học, bổ nhiệm…)</t>
  </si>
  <si>
    <t>Có tiến hành khảo sát sự hài lòng của nhân viên y tế về môi trường làm việc.</t>
  </si>
  <si>
    <t>Xây dựng các giải pháp cải tiến môi trường làm việc tích cực và nâng cao trình độ chuyên môn.</t>
  </si>
  <si>
    <t>Áp dụng các kết quả khảo sát và triển khai các giải pháp can thiệp vào việc cải tiến, tạo dựng môi trường làm việc tích cực cho nhân viên y tế.</t>
  </si>
  <si>
    <t>Quản lý, vận hành và sử dụng các trang thiết bị y tế hiệu quả</t>
  </si>
  <si>
    <t>Lập và thực hiện kế hoạch bảo trì phương tiện, trang thiết bị do mình phụ trách</t>
  </si>
  <si>
    <t>Thiết lập các cơ chế quản lý, phát huy tối đa chức năng hoạt động của các phương tiện, trang thiết bị phục vụ cho chăm sóc và điều trị.</t>
  </si>
  <si>
    <t xml:space="preserve"> </t>
  </si>
  <si>
    <t>Vận hành các trang thiết bị, phương tiện sử dụng trong chăm sóc bảo đảm an toàn, hiệu quả và phòng tránh nhiễm khuẩn liên quan đến chăm sóc y tế</t>
  </si>
  <si>
    <t>Quản lý HSBA</t>
  </si>
  <si>
    <t>Đảm bảo HSBA người bệnh được ghi chép đầy đủ, chính xác, khoa học</t>
  </si>
  <si>
    <t>Không có tình trạng HSBA chưa được lập kịp thời sau khi NB nhập viện (24 giờ với NB cấp cứu và 36 giờ NB  thông thường).</t>
  </si>
  <si>
    <t>HS được lập phải đảm bảo đầy đủ thông tin và theo quy định.</t>
  </si>
  <si>
    <t>Thông tin về chăm sóc và điều trị được ghi ngay sau khi thực hiện hoặc theo quy định về thời gian và đảm bào thống nhất giữa BS và ĐD.</t>
  </si>
  <si>
    <t>Tiến hành đánh giá chất lượng ghi chép thường quy, trong đó chỉ ra các lỗi thường gặp, nguyên nhân chính và giải pháp.</t>
  </si>
  <si>
    <t>Áp dụng kết quả đánh giá vào việc cải tiến chất lượng ghi chép HSBA.</t>
  </si>
  <si>
    <t>HS được quản lý chặt chẽ, khoa học</t>
  </si>
  <si>
    <t>HSBA để ngăn nắp, gọn gàng, bìa HS đúng theo mẫu quy định.</t>
  </si>
  <si>
    <t>Các phiếu trong HS được gắn đúng vị trí theo quy định, được sắp xếp ngăn nắp theo đúng trình tự</t>
  </si>
  <si>
    <t>HSBA được hoàn tất đầy đủ các thủ tục sau khi NB xuất viện và được trả về kho HS đúng thời gian quy định</t>
  </si>
  <si>
    <t>PHÒNG ĐIỀU DƯỠNG</t>
  </si>
  <si>
    <t>BỆNH VIỆN ĐẠI HỌC Y DƯỢC TPHCM</t>
  </si>
  <si>
    <t>TIÊU CHÍ ĐÁNH GIÁ NĂNG LỰC ĐD/HS/KTY UMC</t>
  </si>
  <si>
    <t>KHOẢN</t>
  </si>
  <si>
    <t>NỘI DUNG</t>
  </si>
  <si>
    <t>Chuyên khoa 1/Thạc sĩ</t>
  </si>
  <si>
    <t>BV hạng đặc biệt, hạng 1</t>
  </si>
  <si>
    <t>BV hạng 2, 3</t>
  </si>
  <si>
    <t>A</t>
  </si>
  <si>
    <t>ĐIỂM
TỐI ĐA</t>
  </si>
  <si>
    <t>Mức 1</t>
  </si>
  <si>
    <t>Mức 2</t>
  </si>
  <si>
    <t>Mức 3</t>
  </si>
  <si>
    <t>Mức 4</t>
  </si>
  <si>
    <t>Mức 5</t>
  </si>
  <si>
    <t>D</t>
  </si>
  <si>
    <t>Có bảng mô tả công việc cho tất cả các vị trí công việc của khoa.</t>
  </si>
  <si>
    <t>Bảng mô tả công việc phải phù hợp với các hoạt động của khoa, được cập nhật hàng năm theo sự phát triển của BV.</t>
  </si>
  <si>
    <t>Điều phối, phân công nhân sự đảm bảo hoạt động chăm sóc tại khoa hàng ngày.</t>
  </si>
  <si>
    <t>Điều phối, phân công nhân sự đảm bảo cho các hoạt động đột xuất của BV.</t>
  </si>
  <si>
    <t>Đánh giá hiệu quả chăm sóc NB của từng nhân viên và phân chia thù lao dịch vụ theo năng lực của từng nhân viên.</t>
  </si>
  <si>
    <t>Có kế hoạch</t>
  </si>
  <si>
    <t xml:space="preserve">Liên tục theo dõi </t>
  </si>
  <si>
    <t>Kịp thời có giải pháp khắc phục nếu có sự cố và đem lại hiệu quả cao</t>
  </si>
  <si>
    <t>Có phân tích nguyên nhân gốc rễ, áp dụng kết quả vào cải tiến liên tục nâng cao hiệu quả chăm sóc</t>
  </si>
  <si>
    <t>Có phân tích nguyên nhân gốc rễ, áp dụng kết quả vào cải tiến liên tục nâng cao hiệu quả vào việc cải tiến quy trình</t>
  </si>
  <si>
    <t>Kế hoạch được triển khai và giám sát đúng tiến độ</t>
  </si>
  <si>
    <t>Tuân thủ &gt;80% các chỉ số an toàn dùng thuốc</t>
  </si>
  <si>
    <t>Tuân thủ &gt;90% các chỉ số an toàn dùng thuốc</t>
  </si>
  <si>
    <t>Áp dụng các kết quả cải tiến vào thực hành hiệu quả</t>
  </si>
  <si>
    <t xml:space="preserve">&gt;15 năm </t>
  </si>
  <si>
    <t>BV hạng 2</t>
  </si>
  <si>
    <t>Tính thời gian làm việc liên tục
Cộng dồn?
Nếu thay đổi nơi làm việc--&gt; tình thời gian theo nơi làm việc mới nhất hay tính thời gian làm việc dài nhất
Nếu thời gian làm việc có ngắt quãng--&gt; tính thời gian chuyển tiếp?
Sinh viên mới ra trường: tính điểm thâm niên như thế nào?</t>
  </si>
  <si>
    <t>Dành cho viên chức quản lý</t>
  </si>
  <si>
    <t>NĂNG LỰC QUẢN LÝ</t>
  </si>
  <si>
    <t>Dành cho viên chức chăm sóc NB</t>
  </si>
  <si>
    <t>D.1</t>
  </si>
  <si>
    <t>D.2</t>
  </si>
  <si>
    <t>TỔ CHỨC VẬN HÀNH</t>
  </si>
  <si>
    <t>Xây dựng bảng mô tả công việc các vị trí công việc của khoa.</t>
  </si>
  <si>
    <t>Liên tục theo dõi và có kế hoạch khắc phục kịp thời các mục tiêu chưa đạt được</t>
  </si>
  <si>
    <t>Phân tích nguyên nhân gốc rễ, áp dụng kết quả vào cải tiến liên tục nâng cao hiệu quả chăm sóc</t>
  </si>
  <si>
    <t>Triển khai thực hiện kế hoạch và liên tục theo dõi đúng tiến độ</t>
  </si>
  <si>
    <t>Theo dõi các chỉ số nhân lực, chỉ số phân cấp chăm sóc hàng ngày để phân công nhân sự đảm bảo hoạt động của khoa và BV.</t>
  </si>
  <si>
    <t xml:space="preserve">Áp dụng kết quả theo dõi, đưa ra các giải pháp cải tiến nhằm phân công công việc hiệu quả và đạt hiệu suất </t>
  </si>
  <si>
    <t>Tiến hành nghiên cứu, đánh giá hiệu quả của mô hình chăm sóc, áp dụng kết quả liên tục cải tiến mô hình chăm sóc</t>
  </si>
  <si>
    <t>Có kế hoạch triển khai dịch vụ chăm sóc hàng năm và công cụ theo dõi, đánh giá công tác chăm sóc NB tại khoa.</t>
  </si>
  <si>
    <t>Nhóm 1</t>
  </si>
  <si>
    <t>Nhóm 2</t>
  </si>
  <si>
    <t>ĐH Y Hà Nội, ĐH Y khoa Phạm Ngọc Thạch</t>
  </si>
  <si>
    <t>ĐH Điều dưỡng từ Châu Âu (trừ Đông Âu), Mỹ, Canada, Newzealand, Úc, Nhật bản, Hàn Quốc, Singapore, Đài Loan, Malaysia</t>
  </si>
  <si>
    <t>TIÊU CHÍ ĐÁNH GIÁ</t>
  </si>
  <si>
    <t>KINH NGHIỆM</t>
  </si>
  <si>
    <t>5 &lt;10 năm</t>
  </si>
  <si>
    <t>&gt;10 - 15 năm</t>
  </si>
  <si>
    <t>&lt;5 năm</t>
  </si>
  <si>
    <t>ĐH Y Dược Huế, ĐH Y Dược Cần Thơ, ĐH Điều dưỡng Nam Định, ĐH Quốc tế Hồng Bàng, ĐH Quốc tế Miền Đông, ĐH Nguyễn Tất Thành</t>
  </si>
  <si>
    <t>Xử lý văn bản, bảng tính cơ bản</t>
  </si>
  <si>
    <t>Xử lý văn bản, bảng tính nâng cao; sử dụng thành thạo phần mềm trình chiếu</t>
  </si>
  <si>
    <t>TIÊU CHUẨN BẰNG CẤP</t>
  </si>
  <si>
    <t>ĐIỂM 
TỐI ĐA</t>
  </si>
  <si>
    <t>NĂNG LỰC THỰC HÀNH CHĂM SÓC NGƯỜI BỆNH</t>
  </si>
  <si>
    <t>Tuân thủ các quy định tại cơ sở làm việc</t>
  </si>
  <si>
    <t>Tuân thủ các quy định hành nghề theo luật định liên quan đến y tế, thực hành điều dưỡng, BYT</t>
  </si>
  <si>
    <t>Thực hiện tốt quy tắc ứng xử của tổ chức và luật định</t>
  </si>
  <si>
    <t>Chịu trách nhiệm cá nhân khi đưa ra các quyết định chăm sóc và can thiệp chăm sóc</t>
  </si>
  <si>
    <t>Tuân thủ tiêu chuẩn đạo đức, không đỗ lỗi cho đồng nghiệp, người bệnh đối với các sai sót của cá nhân. Bảo vệ hình ảnh đồng nghiệp trước người bệnh/người nhà và xã hội.</t>
  </si>
  <si>
    <t>Quảng bá hình ảnh người điều dưỡng, thể hiện tác phong và tư cách tốt, trang phục phù hợp, lời nói thuyết phục và cách cư xử đúng mực.</t>
  </si>
  <si>
    <t>V</t>
  </si>
  <si>
    <t xml:space="preserve">Phân tích các nhu cầu cần chăm sóc của người bệnh, xác nhận các can thiệp theo kế hoạch và thứ tự ưu tiên </t>
  </si>
  <si>
    <t>Áp dụng bằng chứng vào thực hành chăm sóc để tăng cường sự an toàn, chất lượng trong chăm sóc, tiết kiệm được chi phí nằm viện cho người bệnh</t>
  </si>
  <si>
    <t>Thực hiện thành thạo hầu hết tất cả các kỹ thuật điều dưỡng đảm bảo an toàn, chất lượng
Có khả năng hướng dẫn người khác (sinh viên, học viên, nhân viên mới) (Mentor)</t>
  </si>
  <si>
    <t>Hiểu biết sâu về chuyên môn, thực hiện được các kỹ thuật khó, có khả năng phát triển thành chứng cứ trong thực hành hoặc vận dụng những chứng cứ mới vào chăm sóc (Expert)</t>
  </si>
  <si>
    <t>Hiểu biết và nhận biết được sự tương tác giữa thuốc và thuốc, thuốc và thức ăn</t>
  </si>
  <si>
    <t>Phát hiện và biết cách xử lý ban đầu các dấu hiệu có hại của thuốc và thông tin kịp thời đến BS, điều dưỡng phụ trách thuốc, ĐDTK</t>
  </si>
  <si>
    <t xml:space="preserve">Tuân thủ quy định khi dùng thuốc; hướng dẫn dùng thuốc đúng, an toàn </t>
  </si>
  <si>
    <t>Kế hoạch chăm sóc được triển khai và người bệnh được theo dõi liên tục</t>
  </si>
  <si>
    <t>Bàn giao tình trạng người bệnh với nhóm chăm sóc kế tiếp đầy đủ, chính xác</t>
  </si>
  <si>
    <t>Phối hợp hiệu quả với người bệnh, người nhà, và đồng nghiệp để đảm bảo người bệnh được theo dõi và chăm sóc liên tục</t>
  </si>
  <si>
    <t>TOEIC 600; IELTS 5.5; TOEFL iBT65</t>
  </si>
  <si>
    <t>TOEIC 800; IELTS 6.5; TOEFL iBT 79</t>
  </si>
  <si>
    <t>Phát hiện sớm những thay đổi đột ngột về tình trạng sức khỏe của người bệnh</t>
  </si>
  <si>
    <t>Biết cách xử trí phù hợp và thông báo kịp thời đến người có trách nhiệm, yêu cầu hỗ trợ kịp thời</t>
  </si>
  <si>
    <t>Thực hiện cấp cứu đạt hiệu quả, phối hợp tốt với các thành viên trong nhóm cấp cứu</t>
  </si>
  <si>
    <t>Lập được kế hoạch chăm sóc cho người bệnh có bệnh lý đơn giản, hoặc bệnh phân cấp 2,3; 
Thực hiện các chăm sóc phù hợp, an toàn, hiệu quả</t>
  </si>
  <si>
    <t>Lập được kế hoạch chăm sóc cho người bệnh có bệnh lý phức tạp (nhiều bệnh đi kèm), hoặc bệnh phân cấp 1, bệnh nặng; 
Tổ chức thực hiện các chăm sóc phù hợp, an toàn, hiệu quả</t>
  </si>
  <si>
    <t>Cải tiến biểu mẫu ghi chép, đem lại hiệu quả cao, tiết kiệm được thời gian và nhân rộng mô hình cho nhiều khoa áp dụng</t>
  </si>
  <si>
    <t>Biên soạn bài giáo dục sức khỏe cho người bệnh, áp dụng trên quy mô toàn bệnh viện (xác nhận của P.ĐD);
Thực hiện giáo dục sức khỏe cho người bệnh cấp bệnh viện, đem lại hiệu quả tốt</t>
  </si>
  <si>
    <t>Lắng nghe và giúp người bệnh giải quyết được các lo lắng, băn khoan của người bệnh, người nhà</t>
  </si>
  <si>
    <t>Xây dựng kế hoạch GDSK phù hợp với bệnh tật và văn hóa, tín ngưỡng của cá nhân, gia đình và xã hội; Tài liệu GDSK phù hợp với trình độ của đối tượng</t>
  </si>
  <si>
    <t>Truyền thông tương tác với người bệnh; sử dụng thành thạo các phương tiện sẵn có của bệnh viện; đảm bảo chất lượng truyền thông: chính xác, ngắn gọn, rõ ràng, dễ hiểu, không vi phạm phạm trù văn hóa, tín ngưỡng</t>
  </si>
  <si>
    <t>Lập kế hoạch người bệnh có nhiều bệnh lý kết hợp và theo dõi việc thực hiện, đánh giá kết quả của quá trình chăm sóc và điều chỉnh kế hoạch chăm sóc phù hợp</t>
  </si>
  <si>
    <t>Sử dụng hiệu quả các dữ liệu thu thập được về tình trạng sức khỏe người bệnh trong việc xây dựng kế hoạch chăm sóc</t>
  </si>
  <si>
    <t>Sử dụng công nghệ thông tin 1 cách hiệu quả trong việc tích hợp và cải tiến các biểu mẫu ghi chép</t>
  </si>
  <si>
    <t>Ứng dụng kết quả ghi chép, phân tích, diễn giải, và thực hiện nghiên cứu cải tiến, áp dụng thành công trên nhiều khoa</t>
  </si>
  <si>
    <t>Điểm nhóm</t>
  </si>
  <si>
    <t>Nhận thức được sự quan trọng trong việc giao tiếp với người bệnh, người nhà và nhân viên;
Thường xuyên sử dụng AIDET trong giao tiếp</t>
  </si>
  <si>
    <t>Chủ động chia sẻ thông tin về quá trình chăm sóc người bệnh với đồng nghiệp;
Thường xuyên ứng dụng hiệu quả SBAR trong bàn giao bệnh, trao đổi thông tin giữa đồng nghiệp</t>
  </si>
  <si>
    <t>Thể hiện lời nói, cử chỉ động viên, khuyến khích người bệnh an tâm điều trị</t>
  </si>
  <si>
    <t>Hợp tác làm việc nhóm và làm việc độc lập hiệu quả;
Chia sẻ thông tin 1 cách hiệu quả;
Thực hiện vai trò đại diện hoặc biện hộ cho người bệnh để đảm bảo các quyền, lợi ích và vì sự an toàn người bệnh.</t>
  </si>
  <si>
    <t>Nghiên cứu khoa học</t>
  </si>
  <si>
    <t>Tổ chức thực hiện được kế hoạch đào tạo và tham gia đào tạo theo đúng tiến độ và đạt chất lượng</t>
  </si>
  <si>
    <t>Đề xuất, xây dựng các phương pháp đào tạo linh động, phù hợp với hoàn cảnh đảm bảo nâng cao chất lượng đào tạo</t>
  </si>
  <si>
    <t>Tham gia giảng dạy ít nhất 2 bài/năm/khoa hoặc 1 bài toàn bệnh viện</t>
  </si>
  <si>
    <t>Hiểu biết về các kỹ thuật nghiên cứu, khảo sát, đánh giá, áp dụng phù hợp trong chăm sóc người bệnh</t>
  </si>
  <si>
    <t>Đánh giá được hiệu quả đào tạo: thống kê, phân tích, diễn giải và báo cáo theo kế hoạch;
Có chỉ ra những nhược điểm khắc cần khắc phục và đề xuất giải pháp cải tiến chất lượng</t>
  </si>
  <si>
    <t>Xây dựng được công cụ, phương pháp đánh giá thay đổi kiến thức của người được đào tạo và sau khi đào tạo</t>
  </si>
  <si>
    <t>Sử dụng thành thạo công nghệ thông tin trong thu thập, phân tích số liệu (SPSS, STATA, R)</t>
  </si>
  <si>
    <t xml:space="preserve">Chủ nhiệm đề tài cấp cơ sở, có công bố trên tạp chí trong nước </t>
  </si>
  <si>
    <t>Đăng bài báo nước ngoài 
Hoặc chủ nhiệm đề tài cấp nhà nước</t>
  </si>
  <si>
    <t>Thực hiện nghiên cứu và có giải pháp thích hợp dựa trên kết quả nghiên cứu</t>
  </si>
  <si>
    <t>Ứng dụng kết quả NCKH vào thực hành chăm sóc, quản lý công việc</t>
  </si>
  <si>
    <t>Sử dụng các bằng chứng từ nghiên cứu khoa học để nâng cao chất lượng thực hành chăm sóc</t>
  </si>
  <si>
    <t>NĂNG LỰC LÃNH ĐẠO &amp; QUẢN LÝ</t>
  </si>
  <si>
    <t>Duy trì và phát triển năng lực cho cá nhân và đồng nghiệp</t>
  </si>
  <si>
    <t>Cải tiến chất lượng chăm sóc</t>
  </si>
  <si>
    <t>Quản lý chăm sóc người bệnh</t>
  </si>
  <si>
    <t>Xây dựng kế hoạch làm việc cho cá nhân hiệu quả và khoa học</t>
  </si>
  <si>
    <t>Xác định khối lượng công việc và có cách sắp xếp theo thứ tự ưu tiên 1 cách hiệu quả, hợp lý</t>
  </si>
  <si>
    <t>Tổ chức, điều phối, phân công và ủy quyền nhiệm vụ cho các thành viên của nhóm chăm sóc một cách khoa học, hợp lý, hiệu quả</t>
  </si>
  <si>
    <t>Hiểu được sự cần thiết về các hoạt động đảm bảo chất lượng thông qua nghiên cứu, phản hồi, đánh giá thực hành</t>
  </si>
  <si>
    <t>Tiếp nhận, báo cáo, đưa ra biện pháp khắc phục hiệu quả</t>
  </si>
  <si>
    <t>Dựa trên các tìm kiếm về vấn đề tồn tại của chuyên môn và hành chánh, đưa giải pháp cải tiến phù hợp, hiệu quả</t>
  </si>
  <si>
    <t>Xác định rõ mục tiêu, nguyện vọng phát triển nghề nghiệp và biết được điểm mạnh và yếu của bản thân</t>
  </si>
  <si>
    <t>Chủ động tham gia tích cực đầy đủ hoạt động đào tạo liên tục của bệnh viện cấp khoa, cấp bệnh viện để liên tục nâng cao kiến thức và kỹ năng</t>
  </si>
  <si>
    <t>Có thái độ tích cực với những đổi mới, quan điểm trái chiều, thể hiện sự lắng nghe các kiến nghị và các đề xuất, thử nghiệm các phương pháp mới</t>
  </si>
  <si>
    <t xml:space="preserve">Hỗ trợ tích cực, đóng góp vào việc đào tạo, nâng cao trình độ, phát triển nghề nghiệp cho đồng nghiệp
</t>
  </si>
  <si>
    <t>Sự trải nghiệm nghề nghiệp</t>
  </si>
  <si>
    <t>≤ 5 năm</t>
  </si>
  <si>
    <t>6 - 9 năm</t>
  </si>
  <si>
    <t>10 - 15 năm</t>
  </si>
  <si>
    <t>&gt;15 năm</t>
  </si>
  <si>
    <t>Đào tạo</t>
  </si>
  <si>
    <t>Quản lý và sử dụng các trang thiết bị, dụng cụ y tế có hiệu quả</t>
  </si>
  <si>
    <t>Thiết lập môi trường làm việc hiệu quả, an toàn</t>
  </si>
  <si>
    <t>Hành nghề theo tiêu chuẩn đạo đức nghề nghiệp</t>
  </si>
  <si>
    <t>Tạo dựng niềm tin với người bệnh, người nhà và đồng nghiệp; Dành thời gian cần thiết để giao tiếp với người bệnh, người nhà và thành viên trong nhóm chăm sóc</t>
  </si>
  <si>
    <t>Sử dụng thành thạo các trang thiết bị, phương tiện sử dụng trong chăm sóc an toàn, hiệu quả</t>
  </si>
  <si>
    <t>Hiểu biết về quy trình, quy định quản lý, sử dụng trang thiết bị, dụng cụ y tế, vật tư phục vụ cho chăm sóc</t>
  </si>
  <si>
    <t>Đề xuất các thiết bị, vật tư phù hợp;</t>
  </si>
  <si>
    <t xml:space="preserve"> Lập kế hoạch bảo quản TTB, vật tư 1 cách hiệu quả</t>
  </si>
  <si>
    <t>Đánh giá được hiệu quả kinh tế của các biện pháp chăm sóc tại bệnh viện</t>
  </si>
  <si>
    <t>Xây dựng kế hoạch sử dụng các nguồi lực trong chăm sóc người bệnh trong phạm vi phân công hiệu quả</t>
  </si>
  <si>
    <t>Tổ chức, triển khai thực hiện kế hoạch hiệu quả</t>
  </si>
  <si>
    <t>Có đề án cải tiến giúp bệnh viện ứng dụng hiệu quả</t>
  </si>
  <si>
    <t>Thiết bị các nội dung liên quan đến sức khỏe nghề nghiệp và luật pháp về an toàn lao động</t>
  </si>
  <si>
    <t>Tuân thủ các tiêu chuẩn và quy tắc về an toàn lao động</t>
  </si>
  <si>
    <t>Tuân thủ các chính sách, quy trình về phòng ngừa cách ly và kiểm soát nhiễm khuẩn (kiểm soát môi trường chăm sóc, quản lý và xử lý chất thải)</t>
  </si>
  <si>
    <t>Tuân thủ quy định dự phòng phơi nhiễm với các tác nhân gây bệnh và biết được phương pháp xử lý</t>
  </si>
  <si>
    <t>Tuân thủ các quy trình an toàn phòng cháy chữa cháy và các trường hợp khẩn cấp khác</t>
  </si>
  <si>
    <t>I.</t>
  </si>
  <si>
    <t>Tiêu chí</t>
  </si>
  <si>
    <t>Bằng cấp chuyên môn</t>
  </si>
  <si>
    <t>Chứng nhận - chứng chỉ</t>
  </si>
  <si>
    <t>Ngoại ngữ (Lựa chọn 1 năng lực phù hợp)</t>
  </si>
  <si>
    <t>Tin học (Lựa chọn 1 năng lực phù hợp)</t>
  </si>
  <si>
    <t>TIÊU CHUẨN</t>
  </si>
  <si>
    <t>Trong nước ≥ 1 năm</t>
  </si>
  <si>
    <t>Nước ngoài ≥ 6 tháng</t>
  </si>
  <si>
    <r>
      <t xml:space="preserve">TIÊU CHUẨN BẰNG CẤP
</t>
    </r>
    <r>
      <rPr>
        <i/>
        <sz val="13"/>
        <color indexed="9"/>
        <rFont val="Times New Roman"/>
        <family val="1"/>
      </rPr>
      <t>(Đúng chuyên ngành, phù hợp với vị trí công việc và lựa chọn bằng cấp cao nhất)</t>
    </r>
  </si>
  <si>
    <t xml:space="preserve">TOEIC 450; IELTS 4.5; TOEFL iBT 53 </t>
  </si>
  <si>
    <t>Trình độ Đại học</t>
  </si>
  <si>
    <t>Sau đại học</t>
  </si>
  <si>
    <t>II.</t>
  </si>
  <si>
    <t>Hành nghề theo pháp luật</t>
  </si>
  <si>
    <t>Hiểu về tình trạng sức khỏe của người bệnh, các kết quả cận lâm sàng liên quan để tham khảo trong thực hành chăm sóc</t>
  </si>
  <si>
    <t>Ra quyết định phân cấp chăm sóc cho người bệnh hợp lý, an toàn, hiệu quả; Tiên lượng được sự tiến triển của các can thiệp điều dưỡng sẽ thực hiện</t>
  </si>
  <si>
    <t>Tạo môi trường thoải mái cho NB và khi chăm sóc
Bảo đảm sự kín đáo, riêng tư khi thực hiện kỹ thuật/thủ thuật</t>
  </si>
  <si>
    <t>Hiểu biết về tình trạng sức khỏe và về người bệnh</t>
  </si>
  <si>
    <t>Tuân thủ quy trình kỹ thuật trong phạm vi chuyên môn hành nghề (Competent)</t>
  </si>
  <si>
    <t>Ghi chép hồ sơ điều dưỡng bảo đảm tính khách quan, chính xác, đầy đủ và kịp thời</t>
  </si>
  <si>
    <r>
      <t xml:space="preserve">Quản lý ghi chép và sử dụng hồ sơ bệnh án hiệu quả 
</t>
    </r>
    <r>
      <rPr>
        <i/>
        <sz val="10"/>
        <color indexed="30"/>
        <rFont val="Times New Roman"/>
        <family val="1"/>
      </rPr>
      <t>(chọn 1 năng lực phù hợp nhất)</t>
    </r>
  </si>
  <si>
    <r>
      <t xml:space="preserve">Thiết lập mối quan hệ với người bệnh, GDSK hiệu quả
</t>
    </r>
    <r>
      <rPr>
        <i/>
        <sz val="10"/>
        <color indexed="30"/>
        <rFont val="Times New Roman"/>
        <family val="1"/>
      </rPr>
      <t>(chọn 1 năng lực phù hợp nhất)</t>
    </r>
  </si>
  <si>
    <t xml:space="preserve">Giao tiếp hiệu quả với người bệnh, người nhà, đồng nghiệp và cấp trên </t>
  </si>
  <si>
    <t>(chọn 1 năng lực phù hợp nhất)</t>
  </si>
  <si>
    <t>Năng lực thực hiện CPR</t>
  </si>
  <si>
    <t xml:space="preserve">Năng lực chăm sóc liên tục </t>
  </si>
  <si>
    <t>Năng lực thực hành kỹ thuật chăm sóc</t>
  </si>
  <si>
    <t xml:space="preserve">Năng lực dùng thuốc an toàn, hiệu quả </t>
  </si>
  <si>
    <t xml:space="preserve">Năng lực lập kế hoạch chăm sóc và can thiệp điều dưỡng </t>
  </si>
  <si>
    <t>III.</t>
  </si>
  <si>
    <t>NĂNG LỰC ĐÀO TẠO
 NGHIÊN CỨU KHOA HỌC
THỰC HÀNH DỰA TRÊN CHỨNG CỨ (EBP)</t>
  </si>
  <si>
    <t>Phân tích được mối quan hệ giữa nhu cầu đào tạo với trình độ, vị trí việc làm của đối tượng thuộc phạm vi phụ trách, Xây dựng được kế hoạch đào tạo</t>
  </si>
  <si>
    <t>Thực hành dựa trên bằng chứng</t>
  </si>
  <si>
    <r>
      <t>Chủ nhiệm đề tài cấp cơ sở, có công bố trên tạp chí trong nước (</t>
    </r>
    <r>
      <rPr>
        <sz val="12"/>
        <color indexed="8"/>
        <rFont val="Calibri"/>
        <family val="2"/>
      </rPr>
      <t>≥</t>
    </r>
    <r>
      <rPr>
        <sz val="12"/>
        <color indexed="8"/>
        <rFont val="Times New Roman"/>
        <family val="1"/>
      </rPr>
      <t>2 bài/năm);
Hoặc chủ nhiệm đề tài cấp Thành phố (tính 1 lần)</t>
    </r>
  </si>
  <si>
    <t>Sử dụng nguồn tài chính thích hợp để chăm sóc NB hiệu quả</t>
  </si>
  <si>
    <t>IV.</t>
  </si>
  <si>
    <t>PHÁT TRIỂN 
CHUYÊN MÔN CÁ NHÂN &amp; CHẤT LƯỢNG</t>
  </si>
  <si>
    <t>ĐÀO TẠO &amp; NCKH</t>
  </si>
  <si>
    <t>LÃNH ĐẠO &amp; QUẢN LÝ</t>
  </si>
  <si>
    <t>Hỗ trợ tích cực, đóng góp vào việc đào tạo, nâng cao trình độ, phát triển nghề nghiệp cho đồng nghiệp</t>
  </si>
  <si>
    <t>V.</t>
  </si>
  <si>
    <t>TOEIC 600; IELTS 5.5; TOEFL iBT 65</t>
  </si>
  <si>
    <t>Xây dựng kế hoạch sử dụng các nguồn lực trong chăm sóc người bệnh trong phạm vi phân công hiệu quả</t>
  </si>
  <si>
    <t>TIÊU CHUẨN 1.
Bằng cấp chuyên môn</t>
  </si>
  <si>
    <t>Chọn 1 đáp án phù hợp</t>
  </si>
  <si>
    <t>TIÊU CHUẨN 3.
Ngoại ngữ</t>
  </si>
  <si>
    <t>TIÊU CHUẨN 4.
Tin học</t>
  </si>
  <si>
    <t>TIÊU CHUẨN 5.
Hành nghề theo pháp luật</t>
  </si>
  <si>
    <t>TIÊU CHUẨN 6.
Hành nghề theo tiêu chuẩn đạo đức nghề nghiệp</t>
  </si>
  <si>
    <t>TIÊU CHUẨN 7.
Hiểu biết về tình trang sức khỏe và về người bệnh</t>
  </si>
  <si>
    <t>TIÊU CHUẨN 9.
Năng lực dùng thuốc an toàn, hiệu quả</t>
  </si>
  <si>
    <t>10-15 năm</t>
  </si>
  <si>
    <t xml:space="preserve">&gt; 15 năm </t>
  </si>
  <si>
    <t>chọn 1 năng lực phù hợp nhất</t>
  </si>
  <si>
    <t xml:space="preserve">              PHÒNG ĐIỀU DƯỠNG</t>
  </si>
  <si>
    <t>TIEU CHUẨN BẰNG CẤP</t>
  </si>
  <si>
    <t>THỰC HÀNH CHĂM SÓC NB</t>
  </si>
  <si>
    <t>PHAT TRIỂN CHUYÊN MÔN CÁ NHÂN &amp; CHÂT LƯỢNG</t>
  </si>
  <si>
    <t>TIÊU CHUẨN 2. 
Chứng nhận
 - chứng chỉ</t>
  </si>
  <si>
    <t>ĐIỂM TỐI ĐA</t>
  </si>
  <si>
    <t>BẢNG HƯỚNG DẪN ĐÁNH GIÁ NĂNG LỰC ĐIỀU DƯỠNG UMC</t>
  </si>
  <si>
    <t>ĐIỂM TỔNG (Tối thiểu)</t>
  </si>
  <si>
    <t>Nhân viên</t>
  </si>
  <si>
    <t>Điểm đánh giá</t>
  </si>
  <si>
    <r>
      <t xml:space="preserve">Tuân thủ các quy định tại cơ sở làm việc
</t>
    </r>
    <r>
      <rPr>
        <i/>
        <sz val="13"/>
        <color indexed="8"/>
        <rFont val="Times New Roman"/>
        <family val="1"/>
      </rPr>
      <t>- Có mặt tại nơi làm việc
- Tuân thủ thời gian làm việc
- Tuân thủ quy định đồng phục, bảng tên
- Tham gia hội họp, sinh hoạt tập thể 
- Ý thức bảo vệ tài sản tại đơn vị/BV</t>
    </r>
  </si>
  <si>
    <r>
      <t xml:space="preserve">Tuân thủ các quy định hành nghề theo luật định liên quan đến y tế, thực hành điều dưỡng, BYT 
</t>
    </r>
    <r>
      <rPr>
        <i/>
        <sz val="13"/>
        <color indexed="8"/>
        <rFont val="Times New Roman"/>
        <family val="1"/>
      </rPr>
      <t>(Luật khám chữa bệnh, thông tư 07/2011, thông tư 23/2011, thông tư 51/2017, …)</t>
    </r>
  </si>
  <si>
    <r>
      <t xml:space="preserve">Thực hiện tốt quy tắc ứng xử của tổ chức và luật định 
</t>
    </r>
    <r>
      <rPr>
        <i/>
        <sz val="13"/>
        <color indexed="8"/>
        <rFont val="Times New Roman"/>
        <family val="1"/>
      </rPr>
      <t>- Sự phối hợp, hợp tác với đồng nghiệp
- Ứng xử với đồng nghiệp
- Giao tiếp với khách hàng/NB</t>
    </r>
  </si>
  <si>
    <r>
      <t xml:space="preserve">Tuân thủ tiêu chuẩn đạo đức, không đỗ lỗi cho đồng nghiệp, người bệnh đối với các sai sót của cá nhân. Bảo vệ hình ảnh đồng nghiệp trước người bệnh/người nhà và xã hội.
</t>
    </r>
    <r>
      <rPr>
        <i/>
        <sz val="13"/>
        <color indexed="8"/>
        <rFont val="Times New Roman"/>
        <family val="1"/>
      </rPr>
      <t>- Không nhận tiền và lợi ích từ NB
- Tôn trọng và tự nguyện tham gia các hoạt động của Hội ĐD
- Tôn trọng và bảo vệ danh dự, uy tính của đồng nghiệp
- Hợp tác, giúp đỡ và truyền thụ kinh nghiệm cho đồng nghiệp</t>
    </r>
  </si>
  <si>
    <r>
      <t xml:space="preserve">Quảng bá hình ảnh người điều dưỡng, thể hiện tác phong và tư cách tốt, trang phục phù hợp, lời nói thuyết phục và cách cư xử đúng mực.
</t>
    </r>
    <r>
      <rPr>
        <i/>
        <sz val="13"/>
        <color indexed="8"/>
        <rFont val="Times New Roman"/>
        <family val="1"/>
      </rPr>
      <t>- Tác phong và chuẩn mực (sạch sẽ, gọn gàng, tươm tất)
- Tư cách và lời nói (nhanh nhẹn, vui vẻ, than thiện, hòa đồng)
- Không ngừng nâng cao năng lực hành nghề
- Tự tôn nghề nghiệp
- Cam kết với cộng đồng và xã hội</t>
    </r>
  </si>
  <si>
    <t>CẤP 1</t>
  </si>
  <si>
    <t>CẤP 2</t>
  </si>
  <si>
    <t>CẤP 3</t>
  </si>
  <si>
    <t>CẤP 4</t>
  </si>
  <si>
    <t>CẤP 5</t>
  </si>
  <si>
    <t>(Chuyên gia lâm sàng)</t>
  </si>
  <si>
    <t>CẤP 6</t>
  </si>
  <si>
    <t>(Chuyên gia quản lý)</t>
  </si>
  <si>
    <t>CẤP 7</t>
  </si>
  <si>
    <t>(Chuyên gia cao cấp)</t>
  </si>
  <si>
    <t>TIÊU CHUẨN BẮT BUỘC</t>
  </si>
  <si>
    <t>Cấp 1*</t>
  </si>
  <si>
    <t>Cấp 2*</t>
  </si>
  <si>
    <t>Cấp 3</t>
  </si>
  <si>
    <t>Cấp 4</t>
  </si>
  <si>
    <t>Cấp 5</t>
  </si>
  <si>
    <t>Cấp 6</t>
  </si>
  <si>
    <t>Cấp 7</t>
  </si>
  <si>
    <t>5 LĨNH VỰC</t>
  </si>
  <si>
    <r>
      <t xml:space="preserve">TIÊU CHUẨN BẰNG CẤP
</t>
    </r>
    <r>
      <rPr>
        <i/>
        <sz val="11"/>
        <color indexed="8"/>
        <rFont val="Times New Roman"/>
        <family val="1"/>
      </rPr>
      <t>(Chuyên ngành công tác)</t>
    </r>
  </si>
  <si>
    <t>Trung học trở lên</t>
  </si>
  <si>
    <t>Cử nhân trở lên</t>
  </si>
  <si>
    <t>Thạc sĩ hoặc tương đương trở lên</t>
  </si>
  <si>
    <t>TRẢI NGHIỆM NGHỀ NGHIỆP</t>
  </si>
  <si>
    <t>Lâm sàng</t>
  </si>
  <si>
    <t>≤ 18 tháng</t>
  </si>
  <si>
    <t>Trên 18 tháng - 5 năm</t>
  </si>
  <si>
    <t>5 - 10 năm</t>
  </si>
  <si>
    <t>10 năm trở lên</t>
  </si>
  <si>
    <t>05 năm trở lên</t>
  </si>
  <si>
    <t>Giảng dạy/ Quản lý</t>
  </si>
  <si>
    <t>ĐÀO TẠO - NCKH</t>
  </si>
  <si>
    <t>Tham gia giảng dạy ít nhất 2 bài/năm/khoa hoặc 1 bài toàn viện
Chủ nhiệm đề tài cấp cơ sở, đăng tạp chí trong nước</t>
  </si>
  <si>
    <t>Tham gia giảng dạy ít nhất 2 bài/năm/khoa hoặc 1 bài toàn viện
Chủ nhiệm 2 đề cơ sở/ 1 đề tài cấp thành phố, đăng tạp chí trong nước</t>
  </si>
  <si>
    <t>Tham gia giảng dạy ít nhất 2 bài/năm/khoa hoặc 1 bài toàn viện
Chủ nhiệm đề tài cấp nhà nước/đăng bài báo nước ngoài</t>
  </si>
  <si>
    <t>Tham gia giảng dạy ít nhất 2 bài/năm/khoa hoặc 1 bài toàn viện
Chủ nhiệm đề tài cấp nhà nước/đăng bài báo nước ngoài
Có những đóng góp lớn cho ngành ĐDVN</t>
  </si>
  <si>
    <t>ĐIỂM THI TB</t>
  </si>
  <si>
    <r>
      <rPr>
        <sz val="14"/>
        <rFont val="Calibri"/>
        <family val="2"/>
      </rPr>
      <t>≥</t>
    </r>
    <r>
      <rPr>
        <sz val="14"/>
        <rFont val="Times New Roman"/>
        <family val="1"/>
      </rPr>
      <t xml:space="preserve"> 7 Điểm</t>
    </r>
  </si>
  <si>
    <t>Ghi chú: 1* và 2*: Bằng cấp trung học chỉ áp dụng đến năm 2025</t>
  </si>
  <si>
    <t>TIÊU CHUẨN 2. 
Chứng nhận - chứng chỉ</t>
  </si>
  <si>
    <t>Quản lý trực tiếp</t>
  </si>
  <si>
    <t xml:space="preserve">CẤP 1 </t>
  </si>
  <si>
    <t xml:space="preserve">CẤP 2 </t>
  </si>
  <si>
    <t xml:space="preserve">CẤP 3 </t>
  </si>
  <si>
    <t xml:space="preserve">CẤP 4 </t>
  </si>
  <si>
    <t xml:space="preserve">CẤP 6 </t>
  </si>
  <si>
    <t xml:space="preserve">CẤP 7 </t>
  </si>
  <si>
    <t>Biết sắp xếp điều phối ưu tiên</t>
  </si>
  <si>
    <t>Tạo không gian chờ khám trật tự, gọn gàng, sạch sẽ</t>
  </si>
  <si>
    <t>Chuẩn bị và sắp xếp các CLS của NB phù hợp với từng thời điểm</t>
  </si>
  <si>
    <t>Biết đánh giá tình trạng sức khỏe NB (Quan sát NB, báo BS ngay các trường hợp bất thường)</t>
  </si>
  <si>
    <t>NB được tư vấn, hướng dẫn cụ thể: thực hiện CLS, thanh toán BHYT, vị trí mua thuốc</t>
  </si>
  <si>
    <t>Cam kết bảo mật thông tin bên trong và bên ngoài</t>
  </si>
  <si>
    <t>Thao tác và hướng dẫn thực hiện:
- Các hình thức thanh toán không dùng tiền mặt
- Các hình thức đăng ký khám bệnh trước ngày khám và trong ngày khám</t>
  </si>
  <si>
    <t>Hợp tác làm việc nhóm và làm việc độc lập hiệu quả;
Chủ động chia sẻ những thông tin và phản hồi thường xuyên với đồng nghiệp và khách hàng bên trong (BS, ĐD, HL)</t>
  </si>
  <si>
    <t>NĂNG LỰC THỰC HÀNH CHĂM SÓC NGƯỜI BỆNH NGOẠI TRÚ</t>
  </si>
  <si>
    <t>Tuân thủ quy định khi dùng thuốc; hướng dẫn dùng thuốc đúng, an toàn khi nhập liệu bệnh án, toa thuốc</t>
  </si>
  <si>
    <t>Hiểu biết và nhận biết được sự tương tác giữa thuốc và thuốc, thuốc và thức ăn, thông báo BS những cảnh báo thuốc, quy định mã ICD, BHYT</t>
  </si>
  <si>
    <t>Phát hiện và biết cách xử lý ban đầu các tác hại không mong muốn của thuốc và thông tin kịp thời đến BS, điều dưỡng phụ trách thuốc, ĐDTK</t>
  </si>
  <si>
    <t>Thực hiện xử trí hiệu quả các trường hợp cấp cứu tại khoa, tham gia hỗ trợ và phối hợp tốt với các thành viên trong nhóm cấp cứu tại khoa</t>
  </si>
  <si>
    <t>Hiểu biết về quy trình, quy định quản lý, sử dụng trang thiết bị, dụng cụ y tế, vật tư tại các vị trí việc làm</t>
  </si>
  <si>
    <t>Biết sắp xếp hướng dẫn NB trước phòng chờ (điều phối)</t>
  </si>
  <si>
    <t>TIÊU CHUẨN 8.
Năng lực thực hành tại khoa khám bệnh</t>
  </si>
  <si>
    <t>TIÊU CHUẨN 10.
Năng lực thực hiện CPR - Xử trí Ngất - Động kinh</t>
  </si>
  <si>
    <t>TIÊU CHUẨN 11.
Thiết lập mối quan hệ với người bệnh, hướng dẫn tận tình, tăng sự hài lòng</t>
  </si>
  <si>
    <t>TIÊU CHUẨN 12.
Năng lực xử lý tình huống tại khoa</t>
  </si>
  <si>
    <t>TIÊU CHUẨN 13. Thực hành 5S</t>
  </si>
  <si>
    <t>TIÊU CHUẨN 14.
Giao tiếp hiệu quả với người bệnh, người nhà, đồng nghiệp và cấp trên</t>
  </si>
  <si>
    <t>TIÊU CHUẨN 15.
Đào tạo</t>
  </si>
  <si>
    <t>TIÊU CHUẨN 16.
Nghiên cứu khoa học</t>
  </si>
  <si>
    <t>TIÊU CHUẨN 17.
Thực hành dựa trên bằng chứng</t>
  </si>
  <si>
    <t>TIÊU CHUẨN 19.
Sử dụng nguồn tài chính phù hợp và hiệu quả</t>
  </si>
  <si>
    <t>TIÊU CHUẨN 20.
Thiết lập môi trường làm việc hiệu quả, an toàn</t>
  </si>
  <si>
    <t>TIÊU CHUẨN 21.
Duy trì và phát triển năng lực cho cá nhân và đồng nghiệp</t>
  </si>
  <si>
    <t>TIÊU CHUẨN 23.
Quản lý chăm sóc người bệnh</t>
  </si>
  <si>
    <t>TIÊU CHUẨN 24.
Sự trải nghiệm nghề nghiệp</t>
  </si>
  <si>
    <t>Hiểu được sự cần thiết về các hoạt động luôn đảm bảo chất lượng thông qua nghiên cứu, phản hồi, đánh giá thực hành</t>
  </si>
  <si>
    <t>Tổ chức, điều phối, phân công và ủy quyền nhiệm vụ cho các thành viên của nhóm làm việc một cách khoa học, hợp lý, hiệu quả</t>
  </si>
  <si>
    <t>Thực hiện tốt quy tắc ứng xử của tổ chức và luật định (không có phản ánh, góp ý về giao tiếp)</t>
  </si>
  <si>
    <t>Tuân thủ quy trình nhận dạng NB (không sai sót trong tháng)</t>
  </si>
  <si>
    <t>Không đạt yêu cầu
(0 điểm)</t>
  </si>
  <si>
    <t>Quan sát, đánh giá hoàn cảnh và đảm bảo an toàn trong tình huống cấp cứu NB 
Chuyển NB đến khu vực an toàn hoặc đảm bào khu vực an toàn cho NB &amp; NVYT.
Có gọi hỗ trợ hoặc kích họạt hệ thống hỗ trợ cấp cứu</t>
  </si>
  <si>
    <t xml:space="preserve">Biết cách nhận biết và ghi nhận sự thay đổi của tri giác, dấu hiệu sinh tồn và các dấu hiệu đe dọa tính mạng của NB </t>
  </si>
  <si>
    <t>Đánh giá được tình trạng ngưng hô hấp tuần hoàn ở người bệnh;
Thỉnh thoảng cần sự hỗ trợ / nhắc nhở khi :
- xác định được vị trí ấn tim và thể hiện kỹ thuật hỗ trợ thông khí cho NB;
- Thực hiện được ấn tim : thông khí cho NB đảm bảo kỹ thuật chuẩn xác.</t>
  </si>
  <si>
    <t>Xử lý độc lập (20đ)</t>
  </si>
  <si>
    <t>Giải quyết tình huống đúng theo quy trình khi NB báo "Dị ứng thuốc"</t>
  </si>
  <si>
    <t>Giải quyết tình huống đúng theo quy trình khi NB yêu cầu "Hoàn thuốc", "Hoàn tiền"</t>
  </si>
  <si>
    <t>Giải quyết các tình huống liên quan đến BHYT, BHXH  tại các vị trí công việc</t>
  </si>
  <si>
    <t>Thực hiện đúng quy định 5S (không bị nhắc nhở, duy trì thực hiện tốt)</t>
  </si>
  <si>
    <t>Giao tiếp hiệu quả với người bệnh, người nhà, đồng nghiệp và cấp trên; không có phản ánh về thái độ giao tiếp ứng xử</t>
  </si>
  <si>
    <t xml:space="preserve">              KHOA KHÁM BỆNH</t>
  </si>
  <si>
    <t>Thực hiện đúng tất cả các quy trình vị trí được phân công và các quy trình chung của khoa, không có sai sót, sự cố chuyên môn</t>
  </si>
  <si>
    <t>không vi phạm
(30 điểm)</t>
  </si>
  <si>
    <t>Giao tiếp không dùng danh xưng 
(20đ)</t>
  </si>
  <si>
    <t>Thái độ giao tiếp không thân thiện 
(0đ)</t>
  </si>
  <si>
    <t>Phản ánh đường dây nóng 
(- 20đ)</t>
  </si>
  <si>
    <t>Đạt 50%
(10 điểm)</t>
  </si>
  <si>
    <t>Không đạt 
(0 điểm)</t>
  </si>
  <si>
    <t>Đạt 100%
(30 điểm)</t>
  </si>
  <si>
    <r>
      <t xml:space="preserve">TIÊU CHUẨN NĂNG LỰC VÀ CÁC TIÊU CHÍ ĐÁNH GIÁ
</t>
    </r>
    <r>
      <rPr>
        <b/>
        <sz val="15"/>
        <color rgb="FF0070C0"/>
        <rFont val="Times New Roman"/>
        <family val="1"/>
      </rPr>
      <t>ÁP DỤNG CHO ĐIỀU DƯỠNG KHOA KHÁM BỆNH</t>
    </r>
  </si>
  <si>
    <t>Cấp 1</t>
  </si>
  <si>
    <t>Tập sự</t>
  </si>
  <si>
    <t xml:space="preserve">Chưa có khả năng truyền đạt, hướng dẫn người khác hiểu biết về một lĩnh vực chuyên môn. 
Chưa có kinh nghiệm thực hành, chỉ có khả năng thực hành theo các quy tắc hướng dẫn trong tình huống cụ thể. </t>
  </si>
  <si>
    <t>Cấp 2</t>
  </si>
  <si>
    <t>Có khả năng thực hành</t>
  </si>
  <si>
    <t>Có khả năng thực hành hiệu quả trong một số lĩnh vực chăm sóc và đôi khi cần gợi ý. 
Có khả năng tiếp nhận và đưa ra hướng xử lý phù hợp đối với những yêu cầu, thắc mắc trong phạm vi công việc được phân công.</t>
  </si>
  <si>
    <t>Đủ năng lực</t>
  </si>
  <si>
    <t>Nhận biết những mục tiêu dài hạn, tự lên kế hoạch hành động dựa trên khả năng phân tích và tổng hợp để đạt được mục tiêu. 
Sử dụng tất cả kiến thức, kinh nghiệm chuyên môn, kể cả những việc ngoài chuyên môn để đưa ra những đối sách, phương án khả thi và tốt nhất để giải quyết vấn đề. 
Tuy nhiên vẫn còn chưa chủ động.</t>
  </si>
  <si>
    <t xml:space="preserve">Cấp 4 </t>
  </si>
  <si>
    <t>Thành thạo</t>
  </si>
  <si>
    <t>Luôn chủ động tìm hiểu, phân tích, đánh giá hiện trạng, từ đó đưa ra được các giải pháp, phương án để thay đổi và cải thiện các vấn đề quan tâm. 
Có kiến thức chuyên môn sâu rộng và kinh nghiệm làm việc tối thiểu 05 năm. Luôn chủ động trong mọi việc để hỗ trợ đồng nghiệp và nhân viên của mình phát triển.</t>
  </si>
  <si>
    <t>Chuyên gia 
lâm sàng</t>
  </si>
  <si>
    <t>Có mối quan hệ rộng với các chuyên gia trong cùng lĩnh vực; chịu trách nhiệm triển khai, ứng dụng các kết quả nghiên cứu vào thực hành. 
Có khả năng phân tích, đánh giá và đề xuất hướng phát triển. Giữ vai trò quản lý trong lĩnh vực chuyên môn được phân công, chịu trách nhiệm trước lãnh đạo về hoạt động của nhóm.</t>
  </si>
  <si>
    <t>Chuyên gia 
quản lý</t>
  </si>
  <si>
    <t>Là người sáng suốt, luôn có những kế hoạch, chiến lược dài hạn, trung hạn và ngắn hạn để hoạch định hướng phát triển. Là người dám nghĩ dám làm và là người quản trị, phân tán rủi ro tốt. 
Là người mạnh mẽ, có sức khoẻ tốt và chịu được áp lực cao, cường độ làm việc căng thẳng.
Có mối quan hệ rộng và có được sự tin tưởng, công nhận từ nhiều người. Có năng lực truyền cảm hứng và tạo nên sự ảnh hưởng tốt đến những người xung quanh. 
Ngoài các năng lực chuyên môn, kinh nghiệm, còn đòi hỏi khả năng thực hiện TẦM NHÌN và SỨ MỆNH của lĩnh vực phụ trách.</t>
  </si>
  <si>
    <t>Chuyên gia 
cao cấp</t>
  </si>
  <si>
    <r>
      <t>A. Trung học/Cao đẳng</t>
    </r>
    <r>
      <rPr>
        <i/>
        <sz val="9"/>
        <color theme="1"/>
        <rFont val="Times New Roman"/>
        <family val="1"/>
      </rPr>
      <t xml:space="preserve"> </t>
    </r>
  </si>
  <si>
    <r>
      <t xml:space="preserve">B. Đại học </t>
    </r>
    <r>
      <rPr>
        <i/>
        <sz val="10"/>
        <color theme="1"/>
        <rFont val="Times New Roman"/>
        <family val="1"/>
      </rPr>
      <t/>
    </r>
  </si>
  <si>
    <t>TOEIC 450; IELTS 4.5; TOEFL iBT 53 hoặc tương đương</t>
  </si>
  <si>
    <t>TOEIC 600; IELTS 5.5; TOEFL iBT 65 hoặc tương đương</t>
  </si>
  <si>
    <t>TOEIC 800; IELTS 6.5; TOEFL iBT 79 hoặc tương đương</t>
  </si>
  <si>
    <t>TIÊU CHUẨN 4.
Công nghệ thông tin</t>
  </si>
  <si>
    <r>
      <t xml:space="preserve">Sử dụng công nghệ thông tin cơ bản
</t>
    </r>
    <r>
      <rPr>
        <i/>
        <sz val="11"/>
        <color theme="1"/>
        <rFont val="Times New Roman"/>
        <family val="1"/>
      </rPr>
      <t>(Theo Thông tư số 03/2014/TT-BTTTT)</t>
    </r>
  </si>
  <si>
    <r>
      <t xml:space="preserve">Sử dụng công nghệ thông tin nâng cao 
</t>
    </r>
    <r>
      <rPr>
        <i/>
        <sz val="11"/>
        <color theme="1"/>
        <rFont val="Times New Roman"/>
        <family val="1"/>
      </rPr>
      <t>(Theo Thông tư số 03/2014/TT-BTTTT)</t>
    </r>
  </si>
  <si>
    <t>Đối với Tiêu chí 1: Ưu tiên cộng điểm nếu tốt nghiệp từ các Trường sau:</t>
  </si>
  <si>
    <t xml:space="preserve">* Mục A: </t>
  </si>
  <si>
    <t xml:space="preserve">  Đại học Y Dược TPHCM (+10)</t>
  </si>
  <si>
    <t xml:space="preserve">* Mục B: </t>
  </si>
  <si>
    <t xml:space="preserve">- Đại học Y Dược TPHCM / Đại học Quốc tế Miền Đông (+20)                             </t>
  </si>
  <si>
    <t xml:space="preserve">- Đại học nước ngoài (+30)                                                                                                                      </t>
  </si>
  <si>
    <t>(Châu Âu (trừ Đông Âu), Mỹ, Canada, New Zealand, Úc, Nhật Bản, Hàn Quốc, Singapore, Đài Loan, Malaysia)</t>
  </si>
  <si>
    <t>NĂNG LỰC CHUYÊN MÔN</t>
  </si>
  <si>
    <t>Tuân thủ các quy định hành nghề theo luật định liên quan đến y tế, thực hành điều dưỡng, Bộ Y tế</t>
  </si>
  <si>
    <t>Tuân thủ tiêu chuẩn đạo đức, không đổ lỗi cho đồng nghiệp, người bệnh đối với các sai sót của cá nhân. Bảo vệ hình ảnh đồng nghiệp trước người bệnh/người nhà và xã hội</t>
  </si>
  <si>
    <t>Quảng bá hình ảnh người điều dưỡng, thể hiện tác phong và tư cách tốt, trang phục phù hợp, lời nói thuyết phục và cách cư xử đúng mực</t>
  </si>
  <si>
    <t>TIÊU CHUẨN 7.
Hiểu biết về tình trạng sức khỏe và về người bệnh</t>
  </si>
  <si>
    <t>Biết đánh giá tình trạng sức khỏe người bệnh (Quan sát người bệnh, báo bác sĩ ngay các trường hợp bất thường)</t>
  </si>
  <si>
    <t>Chuẩn bị và sắp xếp các cận lâm sàng của người bệnh phù hợp với từng thời điểm</t>
  </si>
  <si>
    <t>Biết sắp xếp hướng dẫn người bệnh trước phòng chờ (điều 
phối)</t>
  </si>
  <si>
    <t>TIÊU CHUẨN 8.
Năng lực thực hành tại Khoa Khám bệnh</t>
  </si>
  <si>
    <t>TIÊU CHUẨN 9. Năng lực dùng thuốc an toàn, hiệu quả</t>
  </si>
  <si>
    <t>Hiểu biết và nhận biết được sự tương tác giữa thuốc và thuốc, thuốc và thức ăn, thông báo cho bác sĩ những cảnh báo thuốc, quy định mã ICD, bảo hiểm y tế</t>
  </si>
  <si>
    <t>Phát hiện và biết cách xử lý ban đầu các tác hại không mong muốn của thuốc và thông tin kịp thời đến bác sĩ, điều dưỡng phụ trách thuốc, điều dưỡng trưởng khoa</t>
  </si>
  <si>
    <t>Chọn 1 năng lực phù hợp nhất</t>
  </si>
  <si>
    <t>TIÊU CHUẨN 13.
Thực hành 5S</t>
  </si>
  <si>
    <t>Hợp tác làm việc nhóm và làm việc độc lập hiệu quả;
Chủ động chia sẻ những thông tin và phản hồi thường xuyên với đồng nghiệp và khách hàng bên trong (bác sĩ, điều dưỡng, hộ lý)</t>
  </si>
  <si>
    <t>NĂNG LỰC ĐÀO TẠO
NGHIÊN CỨU KHOA HỌC
THỰC HÀNH DỰA TRÊN CHỨNG CỨ (EBP)</t>
  </si>
  <si>
    <t>Phân tích được mối quan hệ giữa nhu cầu đào tạo với trình độ, vị trí việc làm của đối tượng thuộc phạm vi phụ trách, xây dựng được kế hoạch đào tạo</t>
  </si>
  <si>
    <t>Đánh giá được hiệu quả đào tạo: thống kê, phân tích, diễn giải và báo cáo theo kế hoạch;
Có chỉ ra những nhược điểm cần khắc phục và đề xuất giải pháp cải tiến chất lượng</t>
  </si>
  <si>
    <t>Chọn 1 thành tích cao nhất</t>
  </si>
  <si>
    <r>
      <t>Chủ nhiệm đề tài cấp cơ sở, có công bố trên tạp chí trong nước (</t>
    </r>
    <r>
      <rPr>
        <sz val="12"/>
        <color indexed="8"/>
        <rFont val="Times New Roman"/>
        <family val="1"/>
      </rPr>
      <t>≥ 2 bài/năm);
Hoặc chủ nhiệm đề tài cấp Thành phố (tính 1 lần)</t>
    </r>
  </si>
  <si>
    <t>Đăng bài báo nước ngoài 
Hoặc chủ nhiệm đề tài cấp Nhà nước</t>
  </si>
  <si>
    <t>Ứng dụng kết quả nghiên cứu khoa học vào thực hành chăm sóc, quản lý công việc</t>
  </si>
  <si>
    <t>TTIÊU CHUẨN 18.
Quản lý và sử dụng các trang thiết bị, dụng cụ y tế có hiệu quả</t>
  </si>
  <si>
    <t>Đề xuất các thiết bị, vật tư phù hợp</t>
  </si>
  <si>
    <t>Lập kế hoạch bảo quản trang thiết bị, sử dụng vật tư một cách hiệu quả, tiết kiệm</t>
  </si>
  <si>
    <t>Thiết lập các nội dung liên quan đến sức khỏe nghề nghiệp và luật pháp về an toàn lao động</t>
  </si>
  <si>
    <t>PHÁT TRIỂN
CHUYÊN MÔN CÁ NHÂN &amp; CHẤT LƯỢNG</t>
  </si>
  <si>
    <t>TIÊU CHUẨN 22.
Cải tiến chất lượng trong từng vị trí việc làm</t>
  </si>
  <si>
    <t>Xác định khối lượng công việc và có cách sắp xếp theo thứ tự ưu tiên một cách hiệu quả, hợp lý</t>
  </si>
  <si>
    <t>≤ 5 
năm</t>
  </si>
  <si>
    <t>6-9 
năm</t>
  </si>
  <si>
    <r>
      <rPr>
        <b/>
        <sz val="10"/>
        <color theme="1"/>
        <rFont val="Times New Roman"/>
        <family val="1"/>
      </rPr>
      <t>Đối với Tiêu chí 71:</t>
    </r>
    <r>
      <rPr>
        <sz val="10"/>
        <color theme="1"/>
        <rFont val="Times New Roman"/>
        <family val="1"/>
      </rPr>
      <t/>
    </r>
  </si>
  <si>
    <t>* Sự trải nghiệm nghề nghiệp được tính bằng số năm phù hợp với Bằng cấp đã chọn ở Tiêu chí 1</t>
  </si>
  <si>
    <t xml:space="preserve">* Trước thời điểm được tuyển dụng (theo năm) được tính theo công thức: </t>
  </si>
  <si>
    <t xml:space="preserve">- Đối với bằng cấp Trung học/Cao đẳng (Tiêu chí 1): </t>
  </si>
  <si>
    <t>Bậc lương nhận việc (theo 9 mức độ) x 2</t>
  </si>
  <si>
    <t xml:space="preserve">- Đối với bằng cấp Đại học/Sau đại học (Tiêu chí 1 và 2): </t>
  </si>
  <si>
    <t>Bậc lương nhận việc (theo 9 mức độ) x 3</t>
  </si>
  <si>
    <t>vi phạm 1 lần/tháng
(10 điểm)</t>
  </si>
  <si>
    <t>vi phạm &gt; 2 lần/tháng
(0 điểm)</t>
  </si>
  <si>
    <t>không vi phạm
(20 điểm)</t>
  </si>
  <si>
    <t>Thao tác thuần thục và thực hiện tốt tất cả các quy trình tại 5 vị trí việc làm của khoa:
* Bàn hướng dẫn - tư vấn khám bệnh
* Đăng ký khám bệnh
* Đo ECG
* Rửa mũi xoang
* Bàn khám</t>
  </si>
  <si>
    <r>
      <t xml:space="preserve">Cao đẳng/Trung học
</t>
    </r>
    <r>
      <rPr>
        <i/>
        <sz val="13"/>
        <color indexed="8"/>
        <rFont val="Times New Roman"/>
        <family val="1"/>
      </rPr>
      <t xml:space="preserve">   (Điểm công ưu tiên: ĐHYD TPHCM (+10))</t>
    </r>
  </si>
  <si>
    <r>
      <t xml:space="preserve">Đại học
  </t>
    </r>
    <r>
      <rPr>
        <sz val="13"/>
        <color indexed="8"/>
        <rFont val="Times New Roman"/>
        <family val="1"/>
      </rPr>
      <t xml:space="preserve"> (</t>
    </r>
    <r>
      <rPr>
        <i/>
        <sz val="13"/>
        <color indexed="8"/>
        <rFont val="Times New Roman"/>
        <family val="1"/>
      </rPr>
      <t>Điểm công ưu tiên:  - ĐH Quốc tế Miền Đông (+10)    - ĐHYD TPHCM (+20)        - ĐH từ các trường nước ngoài (+30)</t>
    </r>
  </si>
  <si>
    <r>
      <t>Chủ nhiệm đề tài cấp cơ sở, có công bố trên tạp chí trong nước (</t>
    </r>
    <r>
      <rPr>
        <sz val="13"/>
        <color indexed="8"/>
        <rFont val="Times New Roman"/>
        <family val="1"/>
      </rPr>
      <t>≥ 2 bài/năm);
Hoặc chủ nhiệm đề tài cấp Thành phố (tính 1 lần)</t>
    </r>
  </si>
  <si>
    <t xml:space="preserve">Tuân thủ các quy định tại cơ sở làm việc (thời gian làm việc, tuân thủ đồng phục, bảng tên)
</t>
  </si>
  <si>
    <t xml:space="preserve">Tuân thủ quy trình nhận dạng người bệnh
</t>
  </si>
  <si>
    <t xml:space="preserve">Thực hiện đúng tất cả các quy trình vị trí được phân công và các quy trình chung của khoa, không có sai sót, sự cố chuyên môn
</t>
  </si>
  <si>
    <t>Thao tác thuần thục và thực hiện tốt tất cả các quy trình tại 5 vị trí việc làm của khoa:
* Bàn hướng dẫn - tư vấn khám bệnh
* Đăng ký khám bệnh 
* Đo điện tim
* Rửa mũi xoang
* Bàn khám</t>
  </si>
  <si>
    <t xml:space="preserve">Người bệnh được tư vấn, hướng dẫn cụ thể: thực hiện cận lâm sàng, thanh toán bảo hiểm y tế, vị trí mua thuốc
</t>
  </si>
  <si>
    <t xml:space="preserve">Hướng dẫn thao tác và thực hiện:
- Các hình thức thanh toán không dùng tiền mặt
- Các hình thức đăng ký khám bệnh trước ngày khám và trong ngày khám
</t>
  </si>
  <si>
    <t xml:space="preserve">Giải quyết tình huống đúng theo quy trình khi người bệnh báo "Dị ứng thuốc"
</t>
  </si>
  <si>
    <t xml:space="preserve">Giải quyết tình huống đúng theo quy trình khi người bệnh yêu cầu "Hoàn thuốc", "Hoàn tiền"
</t>
  </si>
  <si>
    <t xml:space="preserve">Giải quyết các tình huống liên quan đến bảo hiểm y tế, bảo hiểm xã hội tại các vị trí công việc
</t>
  </si>
  <si>
    <t xml:space="preserve">Thực hiện đúng quy định 5S (không bị nhắc nhở, duy trì thực hiện tốt)
</t>
  </si>
  <si>
    <t xml:space="preserve">Giao tiếp hiệu quả với người bệnh, người nhà, đồng nghiệp và cấp trên; không có phản ánh về thái độ giao tiếp ứng xử
</t>
  </si>
  <si>
    <t>Có trường hợp không tuân thủ → 0 điểm</t>
  </si>
  <si>
    <t>Chuyên gia cao cấp</t>
  </si>
  <si>
    <t>Chuyên gia quản lý</t>
  </si>
  <si>
    <t>Chuyên gia lâm sàng</t>
  </si>
  <si>
    <t>4 lần vi phạm (1 điểm)</t>
  </si>
  <si>
    <t>3 lần vi phạm (2 điểm)</t>
  </si>
  <si>
    <t>2 lần vi phạm (3 điểm)</t>
  </si>
  <si>
    <t>1 lần vi phạm (4 điểm)</t>
  </si>
  <si>
    <t>0 lần vi phạm (5 điểm)</t>
  </si>
  <si>
    <r>
      <rPr>
        <sz val="13"/>
        <rFont val="Times New Roman"/>
        <family val="1"/>
      </rPr>
      <t>Phối hợp với đồng nghiệp nhưng chưa chủ động hoặc do được yêu cầu  Quan hệ, giao tiếp tốt với đồng nghiệp, NB
(3 điểm)</t>
    </r>
  </si>
  <si>
    <r>
      <rPr>
        <sz val="13"/>
        <rFont val="Times New Roman"/>
        <family val="1"/>
      </rPr>
      <t>Chủ động phối hợp với đồng nghiệp để giải quyết công việc
Hòa nhã, vui vẻ, sẵn sàng hỗ trợ với đồng nghiệp, khách hàng/NB
(4 điểm)</t>
    </r>
  </si>
  <si>
    <r>
      <rPr>
        <sz val="13"/>
        <rFont val="Times New Roman"/>
        <family val="1"/>
      </rPr>
      <t>Phối hợp công việc 1 cách nhanh nhẹn, hiệu quả Ứng xử nhanh nhẹn, giải
quyết mọi vấn đề, quan hệ tốt với đồng nghiệp trong và ngoài đơn vị
Giao tiếp tốt với NB, chăm sóc được NB khó tính
(5 điểm)</t>
    </r>
  </si>
  <si>
    <r>
      <rPr>
        <sz val="13"/>
        <rFont val="Times New Roman"/>
        <family val="1"/>
      </rPr>
      <t>Tự ra quyết định kế hoạch chăm sóc và can thiệp cho NB
(4 điểm)</t>
    </r>
  </si>
  <si>
    <r>
      <rPr>
        <sz val="13"/>
        <rFont val="Times New Roman"/>
        <family val="1"/>
      </rPr>
      <t>Có trách nhiệm trong công tác
Tự giác nhận trách nhiệm khi có những sai sót
(5 điểm)</t>
    </r>
  </si>
  <si>
    <t>0 lần vi phạm (15 điểm)</t>
  </si>
  <si>
    <t>4 lần vi phạm (3 điểm)</t>
  </si>
  <si>
    <t>3 lần vi phạm (6 điểm)</t>
  </si>
  <si>
    <t>2 lần vi phạm (9 điểm)</t>
  </si>
  <si>
    <t>1 lần vi phạm (12 điểm)</t>
  </si>
  <si>
    <t>4 lần vi phạm (2 điểm)</t>
  </si>
  <si>
    <t>3 lần vi phạm (4 điểm)</t>
  </si>
  <si>
    <t>2 lần vi phạm (6 điểm)</t>
  </si>
  <si>
    <t>1 lần vi phạm (8 điểm)</t>
  </si>
  <si>
    <t>0 lần vi phạm (10 điểm)</t>
  </si>
  <si>
    <t>Đạt 100%
(10 điểm)</t>
  </si>
  <si>
    <t>Đạt 50%
(5 điểm)</t>
  </si>
  <si>
    <t>Không biết cách giải quyết (0đ)</t>
  </si>
  <si>
    <t>Có sự hướng dẫn (10đ)</t>
  </si>
  <si>
    <t>Không vi phạm (20đ)</t>
  </si>
  <si>
    <t>Nhắc nhở lần 4 
(0đ)</t>
  </si>
  <si>
    <t>Nhắc nhở lần 3
(5đ)</t>
  </si>
  <si>
    <t>Nhắc nhở lần 2 
(10đ)</t>
  </si>
  <si>
    <t>Nhắc nhở lần 1 
(15đ)</t>
  </si>
  <si>
    <t>Giao tiếp hiệu quả (40đ)</t>
  </si>
  <si>
    <t>Đạt 100%
(20 điểm)</t>
  </si>
  <si>
    <r>
      <rPr>
        <sz val="13"/>
        <rFont val="Times New Roman"/>
        <family val="1"/>
      </rPr>
      <t>Cần sự hỗ trợ trong xây dựng phương pháp đào tạo phù hợp với yêu cầu của nội dung đào tạo.
(6 điểm)</t>
    </r>
  </si>
  <si>
    <r>
      <rPr>
        <sz val="13"/>
        <rFont val="Times New Roman"/>
        <family val="1"/>
      </rPr>
      <t>Có phương pháp đào tạo phù hợp với nội dung, yêu cầu của nội dung đào tạo.
Vận dụng được phương pháp đào tạo phù hợp với hoàn cảnh đào tạo. (8 điểm)</t>
    </r>
  </si>
  <si>
    <r>
      <rPr>
        <sz val="13"/>
        <rFont val="Times New Roman"/>
        <family val="1"/>
      </rPr>
      <t>Có sự thay đổi thường xuyên các chương trình, nội dung đào tạo hàng năm
Vận dụng đa dạng trên ba phương pháp đào tạo phù hợp với yêu cầu của nội dung đào tạo  (10 điểm)</t>
    </r>
  </si>
  <si>
    <t>Phân tích được mối quan hệ giữa nhu cầu đào tạo với trình độ, vị trí việc làm của đối tượng thuộc phạm vi phụ trách (5đ)
 Xây dựng được kế hoạch đào tạo (5đ)</t>
  </si>
  <si>
    <t>Cần sự hỗ trợ trong xây dựng kế hoạch đào tạo;
Nội dung đào tạo chỉ đáp ứng được 2 trong các tiêu chí sau:
- Mục tiêu cụ thể
- Đo lường được
- Có thể đạt được
- Thực tế 
(3 điểm)</t>
  </si>
  <si>
    <t>Độc lập xây dựng kế hoạch đào tạo.
Nội dung đào tạo đáp ứng được các tiêu chí sau:
- Mục tiêu cụ thể
- Đo lường được
- Có thể đạt được
- Thực tế 
(4 điểm)</t>
  </si>
  <si>
    <t>Cần sự hướng dẫn trong tìm hiểu, phân tích mối tương quan giữa nhu cầu đào tạo với trình độ, vị trí làm việc;
(3điểm)</t>
  </si>
  <si>
    <t>Thực hiện và báo cáo kết quả khảo sát, nghiên cứu mối quan hệ giữa nhu cầu đào tạo với trình độ, vị trí làm việc
(4 điểm)</t>
  </si>
  <si>
    <t>Lập kế hoạch đào tạo đáp ứng
đáp ứng được các tiêu chí sau:
- Mục tiêu cụ thể
- Đo lường được
- Có thể đạt được
- Thực tế
Có phân tích, diễn giải các nội dung kế hoạch đào tạo dựa vào bằng chứng
(5 điểm)</t>
  </si>
  <si>
    <t xml:space="preserve">Thực hiện và báo cáo kết quả khảo sát, nghiên cứu mối quan hệ giữa nhu cầu đào tạo với trình độ, vị trí làm việc; Đề xuất được các giải pháp dựa trên kết quả báo cáo. 
(5 điểm)
</t>
  </si>
  <si>
    <t>Tổ chức thực hiện được kế hoạch đào tạo và tham gia đào tạo theo đúng tiến độ và đạt chất lượng:
-Kế hoạch đào tạo, tham gia đào tạo theo đúng tiến độ (5đ)
-Kế hoạch đào tạo đạt chất lượng (5đ)</t>
  </si>
  <si>
    <r>
      <rPr>
        <sz val="13"/>
        <rFont val="Times New Roman"/>
        <family val="1"/>
      </rPr>
      <t>Cần sự hỗ trợ, hoặc giám sát tiến độ thực hiện kế hoạch đào tạo;
Có  dưới 2 chương trình  đào tạo trễ hạn dưới 1 tháng so với kế hoạch năm
(3 điểm)</t>
    </r>
  </si>
  <si>
    <r>
      <rPr>
        <sz val="13"/>
        <rFont val="Times New Roman"/>
        <family val="1"/>
      </rPr>
      <t>Độc lập theo dõi kế hoạch đào tạo, tổ chức đào tạo đúng tiến độ;
Không có chương trình trễ hạn.
(4 điểm)</t>
    </r>
  </si>
  <si>
    <r>
      <rPr>
        <sz val="13"/>
        <rFont val="Times New Roman"/>
        <family val="1"/>
      </rPr>
      <t>Biết phối hợp nhiều phương pháp, kỹ năng theo dõi kế hoạch đào tạo, tổ chức đào tạo đúng tiến độ;
Hoàn thành các nội dung, chương trình đào tạo sớm hơn tiến độ trong kế hoạch đề ra
(5 điểm)</t>
    </r>
  </si>
  <si>
    <r>
      <rPr>
        <sz val="13"/>
        <rFont val="Times New Roman"/>
        <family val="1"/>
      </rPr>
      <t>Cần hướng dẫn trong xây dựng nội dung kế hoạch, chương trình đào tạo để đạt yêu cầu thẩm định nội dung.
(3 điểm)</t>
    </r>
  </si>
  <si>
    <r>
      <rPr>
        <sz val="13"/>
        <rFont val="Times New Roman"/>
        <family val="1"/>
      </rPr>
      <t>Kế hoạch, chương trình đào tạo đạt yêu cầu thẩm định nội dung.
Có công cụ, phương pháp đánh giá chất lượng thông qua đo lường kiến thức / thái độ / kỹ năng của học viên sau đào tạo
(4 điểm)</t>
    </r>
  </si>
  <si>
    <r>
      <rPr>
        <sz val="13"/>
        <rFont val="Times New Roman"/>
        <family val="1"/>
      </rPr>
      <t>Kế hoạch, chương trình đào tạo đạt yêu cầu thẩm định nội dung.
Có đánh giá chất lượng và báo cáo kết quả thông qua đo lường kiến thức / thái độ / kỹ năng của học viên sau đào tạo
Kế hoạch đào tạo có tác động thay đổi đến kiến thức / thực hành / trình độ của nguồn nhân lực
(5 điểm)</t>
    </r>
  </si>
  <si>
    <t>Đánh giá được hiệu quả đào tạo: thống kê, phân tích, diễn giải và báo cáo theo kế hoạch;
Có chỉ ra những nhược điểm cần khắc phục và đề xuất giải pháp cải tiến chất lượng
(-Thống kê, phân tích, diễn giải và báo cáo theo kế hoạch (5đ)
-Cải tiến chất lượng đào tạo (5đ))</t>
  </si>
  <si>
    <r>
      <rPr>
        <sz val="13"/>
        <rFont val="Times New Roman"/>
        <family val="1"/>
      </rPr>
      <t>Cần hướng dẫn trong đánh giá, đo lường hiệu quả trước &amp; sau đào tạo;
(3 điểm)</t>
    </r>
  </si>
  <si>
    <r>
      <rPr>
        <sz val="13"/>
        <rFont val="Times New Roman"/>
        <family val="1"/>
      </rPr>
      <t>Độc lập đánh giá, đo lường và báo cáo hiệu quả trước &amp; sau đào tạo;
Cần sự hướng dẫn trong phân tích, diễn giải kết quả đo lường. (4 điểm)</t>
    </r>
  </si>
  <si>
    <r>
      <rPr>
        <sz val="13"/>
        <rFont val="Times New Roman"/>
        <family val="1"/>
      </rPr>
      <t xml:space="preserve">Biết cách vận dụng nhiều kỹ năng đánh giá, đo lường và báo cáo hiệu quả trước &amp; sau đào tạo;
Đưa ra được phân tích, diễn giải kết quả đo lường, thống kê
</t>
    </r>
    <r>
      <rPr>
        <sz val="13"/>
        <rFont val="Microsoft Sans Serif"/>
        <family val="2"/>
      </rPr>
      <t>(5 điểm)</t>
    </r>
  </si>
  <si>
    <r>
      <rPr>
        <sz val="13"/>
        <rFont val="Times New Roman"/>
        <family val="1"/>
      </rPr>
      <t>Đưa ra được điểm yếu từ kết quả đánh giá.
Cần hướng dẫn trong lập kế hoạch cải tiến chất lượng đào tạo.
(3 điểm)</t>
    </r>
  </si>
  <si>
    <r>
      <rPr>
        <sz val="13"/>
        <rFont val="Times New Roman"/>
        <family val="1"/>
      </rPr>
      <t>Diễn giải, phân tích được điểm mạnh và điểm yếu từ kết quả đánh giá.
Lập kế hoạch cải tiến chất lượng đào tạo. (4 điểm)</t>
    </r>
  </si>
  <si>
    <r>
      <rPr>
        <sz val="13"/>
        <rFont val="Times New Roman"/>
        <family val="1"/>
      </rPr>
      <t xml:space="preserve">Phân tích được điểm mạnh và điểm yếu từ kết quả đánh giá đào tạo.
Thực hiện kế hoạch, đánh giá và báo cáo kết quả cải tiến chất lượng đào tạo.
</t>
    </r>
    <r>
      <rPr>
        <sz val="13"/>
        <rFont val="Microsoft Sans Serif"/>
        <family val="2"/>
      </rPr>
      <t>(5 điểm)</t>
    </r>
  </si>
  <si>
    <r>
      <rPr>
        <sz val="13"/>
        <rFont val="Times New Roman"/>
        <family val="1"/>
      </rPr>
      <t>Cần sự hướng dẫn liên tục, thường xuyên trong việc tìm, xây dựng công cụ, phương pháp đánh giá kiến thức của học viên.
(3 điểm)</t>
    </r>
  </si>
  <si>
    <r>
      <rPr>
        <sz val="13"/>
        <rFont val="Times New Roman"/>
        <family val="1"/>
      </rPr>
      <t>Độc lập đưa ra được công cụ, phương pháp trong đánh giá kiến thức của học viên, viên chức trước &amp; sau đào tạo.
Ứng dụng một phương pháp, công cụ đánh giá kiến thức học viên.
(4 điểm)</t>
    </r>
  </si>
  <si>
    <r>
      <rPr>
        <sz val="13"/>
        <rFont val="Times New Roman"/>
        <family val="1"/>
      </rPr>
      <t>Tự tin, thành thạo trong  áp dụng công cụ, phương pháp đánh giá kiến thức của học viên, viên chức trước &amp; sau đào tạo.
Vận dụng trên hai công cụ đánh giá, đo lường kiến thức học viên.
Giải thích được cơ sở khoa học cho phương pháp đánh giá.
(5 điểm)</t>
    </r>
  </si>
  <si>
    <t>có tham gia  ⭢ đạt 5 điểm</t>
  </si>
  <si>
    <t>Có tham gia NCKH với vai trò đối tượng lấy mẫu (2 điểm)</t>
  </si>
  <si>
    <r>
      <rPr>
        <sz val="13"/>
        <rFont val="Times New Roman"/>
        <family val="1"/>
      </rPr>
      <t>Có được đào tạo cơ bản về NCKH và tham gia NCKH với vai trò người đi lấy mẫu
(6 điểm)</t>
    </r>
  </si>
  <si>
    <r>
      <rPr>
        <sz val="13"/>
        <rFont val="Times New Roman"/>
        <family val="1"/>
      </rPr>
      <t>Có chứng chỉ/ chứng nhận đào tạo chuyên về NCKH và là thành viên của nhóm thực hiện đề tài NCKH
(8 điểm)</t>
    </r>
  </si>
  <si>
    <t>Tham gia viết đề cương nghiên cứu khoa học (10 điểm)</t>
  </si>
  <si>
    <r>
      <rPr>
        <sz val="13"/>
        <rFont val="Times New Roman"/>
        <family val="1"/>
      </rPr>
      <t>Biết cách tìm và trích dẫn tài liệu liên quan đến nghiên cứu có giá trị
(4 điểm)</t>
    </r>
  </si>
  <si>
    <r>
      <rPr>
        <sz val="13"/>
        <rFont val="Times New Roman"/>
        <family val="1"/>
      </rPr>
      <t>Biết cách tìm và trích dẫn tài liệu liên quan đến nghiên cứu có giá trị
Biết sử dụng phần mềm nhập liệu và phân tích số liệu (SPSS, STATA, R,
…)  nhưng cần sử hỗ trợ
(6 điểm)</t>
    </r>
  </si>
  <si>
    <r>
      <rPr>
        <sz val="13"/>
        <rFont val="Times New Roman"/>
        <family val="1"/>
      </rPr>
      <t>Biết sử dụng thành thạo phần mềm nhập liệu và phân tích số liệu (SPSS, STATA, R, …)
(8 điểm)</t>
    </r>
  </si>
  <si>
    <t>Có khả năng hướng dẫn các phần mềm nhập liệu và phân tích số liệu trong  NCKH (10 điểm)</t>
  </si>
  <si>
    <r>
      <rPr>
        <sz val="13"/>
        <rFont val="Times New Roman"/>
        <family val="1"/>
      </rPr>
      <t>Có tham gia NCKH với vai trò là người hỗ trợ chính/ Thư ký đề tài đã được phê duyệt đề cương và đang thực hiện
(2 điểm)</t>
    </r>
  </si>
  <si>
    <r>
      <rPr>
        <sz val="13"/>
        <rFont val="Times New Roman"/>
        <family val="1"/>
      </rPr>
      <t>Là chủ nhiệm đề tài NCKH đã được phê duyệt đề cương và đang thực hiện.
(4 điểm)</t>
    </r>
  </si>
  <si>
    <r>
      <rPr>
        <sz val="13"/>
        <rFont val="Times New Roman"/>
        <family val="1"/>
      </rPr>
      <t>Là chủ nhiệm đề tài NCKH đã được công nhận
(6 điểm)</t>
    </r>
  </si>
  <si>
    <r>
      <rPr>
        <sz val="13"/>
        <rFont val="Times New Roman"/>
        <family val="1"/>
      </rPr>
      <t>Là chủ nhiệm đề tài NCKH cấp cơ sở được công nhận và công bố trên tạp chí có số ISSN trong nước trong vòng 3 năm.
(8 điểm)</t>
    </r>
  </si>
  <si>
    <r>
      <rPr>
        <sz val="13"/>
        <rFont val="Times New Roman"/>
        <family val="1"/>
      </rPr>
      <t>Là chủ nhiệm đề tài NCKH cấp cơ sở được công nhận và công bố trên tạp chí có số ISSN trong nước trong vòng 1 năm.
(10 điểm)</t>
    </r>
  </si>
  <si>
    <r>
      <rPr>
        <sz val="13"/>
        <rFont val="Times New Roman"/>
        <family val="1"/>
      </rPr>
      <t>Có tham gia ít nhất 2 đề tài NCKH với vai trò là người hỗ trợ chính/ Thư ký đề tài đã được phê duyệt đề cương và đang thực hiện
(5 điểm)</t>
    </r>
  </si>
  <si>
    <r>
      <rPr>
        <sz val="13"/>
        <rFont val="Times New Roman"/>
        <family val="1"/>
      </rPr>
      <t>Là chủ nhiệm đề tài cấp cơ sở ≥ 2 bài/ năm hoặc đề tài cấp tỉnh/ thành phố đã được công nhận và công bố trên tạp chí có số ISSN trong nước trong vòng 2 năm
(12 điểm)</t>
    </r>
  </si>
  <si>
    <r>
      <rPr>
        <sz val="13"/>
        <rFont val="Times New Roman"/>
        <family val="1"/>
      </rPr>
      <t>Là chủ nhiệm đề tài cấp cơ sở ≥ 2 bài/ năm hoặc đề tài cấp tỉnh/ thành phố đã được công nhận và công bố trên tạp chí có số ISSN trong nước và được mời báo cáo hội nghị điều dưỡng ít nhất 2 lần về đề tài đã công bố trong vòng 2 năm
(15 điểm)</t>
    </r>
  </si>
  <si>
    <t>Là chủ nhiệm ít nhất 2 đề tài NCKH đã hoàn thành đang trong quá trình chờ thẩm định
(9 điểm)</t>
  </si>
  <si>
    <r>
      <t xml:space="preserve">Có tên trong bài báo được đăng tạp chí uy tín ở nước ngoài hoặc đang tham gia đề tài cấp nhà nước, đề tài đã được phê duyệt đề cương và đang trong quá trình hoàn tất
</t>
    </r>
    <r>
      <rPr>
        <sz val="13"/>
        <color indexed="8"/>
        <rFont val="Times New Roman"/>
        <family val="1"/>
      </rPr>
      <t>(4 điểm)</t>
    </r>
  </si>
  <si>
    <r>
      <t xml:space="preserve">Có tên trong bài báo được đăng tạp chí uy tín ở nước ngoài hoặc  tham gia đề tài cấp nhà nước, đề tài đã hoàn thành và đnag chờ thẩm định
</t>
    </r>
    <r>
      <rPr>
        <sz val="13"/>
        <color indexed="8"/>
        <rFont val="Times New Roman"/>
        <family val="1"/>
      </rPr>
      <t>(8 điểm)</t>
    </r>
  </si>
  <si>
    <r>
      <t xml:space="preserve">là chủ nhiệm đề tài được đăng tạp chí uy tín ở nước ngoài hoặc  tham gia đề tài cấp nhà nước, đề tài đã hoàn thành và đang chờ thẩm định
</t>
    </r>
    <r>
      <rPr>
        <sz val="13"/>
        <color indexed="8"/>
        <rFont val="Times New Roman"/>
        <family val="1"/>
      </rPr>
      <t>(12 điểm)</t>
    </r>
  </si>
  <si>
    <r>
      <t xml:space="preserve">Là chủ nhiệm đề tài được đăng tạp chí uy tín ở nước ngoài hoặc đề tài cấp nhà nước được công nhận trong vòng 5 năm
</t>
    </r>
    <r>
      <rPr>
        <sz val="13"/>
        <color indexed="8"/>
        <rFont val="Times New Roman"/>
        <family val="1"/>
      </rPr>
      <t>(16 điểm)</t>
    </r>
  </si>
  <si>
    <r>
      <t xml:space="preserve">Là chủ nhiệm đề tài được đăng tạp chí uy tín ở nước ngoài hoặc đề tài cấp nhà nước được công nhận và mời báo cáo trong các hội nghị quốc tế ít nhất 1 lần về đề tài trong vòng 5 năm
</t>
    </r>
    <r>
      <rPr>
        <sz val="13"/>
        <color indexed="8"/>
        <rFont val="Times New Roman"/>
        <family val="1"/>
      </rPr>
      <t>(20 điểm)</t>
    </r>
  </si>
  <si>
    <t>Là chủ nhiệm ít nhất 2 đề tài NCKH đã được phê duyệt đề cương và đang thực hiện.
(10 điểm)</t>
  </si>
  <si>
    <r>
      <t xml:space="preserve">Có tham gia ít nhất 1 đề tài NCKH/ SKCT liên quan đến thực hành chăm sóc đã được phê duyệt đề cương và đang trong quá trình thực hiện
</t>
    </r>
    <r>
      <rPr>
        <sz val="13"/>
        <color indexed="8"/>
        <rFont val="Times New Roman"/>
        <family val="1"/>
      </rPr>
      <t>(2 điểm)</t>
    </r>
  </si>
  <si>
    <r>
      <t xml:space="preserve">là chủ nhiệm ít nhất 1 đề tài NCKH/ SKCT liên quan đến thực hành chăm sóc đã được phê duyệt đề cương và đang trong quá trình thực hiện
</t>
    </r>
    <r>
      <rPr>
        <sz val="13"/>
        <color indexed="8"/>
        <rFont val="Times New Roman"/>
        <family val="1"/>
      </rPr>
      <t>(4 điểm)</t>
    </r>
  </si>
  <si>
    <r>
      <t xml:space="preserve">Là chủ nhiệm ít nhất 1 đề tài NCKH/ SKCT liên quan đến thực hành chăm sóc đã hoàn thành, đang chờ thẩm định.
</t>
    </r>
    <r>
      <rPr>
        <sz val="13"/>
        <color indexed="8"/>
        <rFont val="Times New Roman"/>
        <family val="1"/>
      </rPr>
      <t>(6 điểm)</t>
    </r>
  </si>
  <si>
    <r>
      <t xml:space="preserve">Là chủ nhiệm ít nhất 1 đề tài NCKH/ SKCT liên quan đến thực hành chăm sóc đã được công nhận.
</t>
    </r>
    <r>
      <rPr>
        <sz val="13"/>
        <color indexed="8"/>
        <rFont val="Times New Roman"/>
        <family val="1"/>
      </rPr>
      <t>(8 điểm)</t>
    </r>
  </si>
  <si>
    <r>
      <t xml:space="preserve">Là chủ nhiệm đề tài mà  giải pháp cải tiến/ thay đổi thực hành chăm sóc dựa trên kết quả nghiên cứu được phân tích và đánh giá khả năng áp dụng
</t>
    </r>
    <r>
      <rPr>
        <sz val="13"/>
        <color indexed="8"/>
        <rFont val="Times New Roman"/>
        <family val="1"/>
      </rPr>
      <t>(10 điểm)</t>
    </r>
  </si>
  <si>
    <r>
      <t xml:space="preserve">Là chủ nhiệm đề tài mà giải pháp có kế hoạch áp dụng tại ít nhất 1 khoa/ 1 nhóm đối tượng liên quan.
</t>
    </r>
    <r>
      <rPr>
        <sz val="13"/>
        <color indexed="8"/>
        <rFont val="Times New Roman"/>
        <family val="1"/>
      </rPr>
      <t>(2 điểm)</t>
    </r>
  </si>
  <si>
    <r>
      <t xml:space="preserve">Là chủ nhiệm đề tài mà giải pháp cải tiến/ thay đổi thực hành chăm sóc dựa trên kết quả nghiên cứu được áp dụng ít nhất tại một khoa/ một nhóm đối tượng liên quan
</t>
    </r>
    <r>
      <rPr>
        <sz val="13"/>
        <color indexed="8"/>
        <rFont val="Times New Roman"/>
        <family val="1"/>
      </rPr>
      <t>(4 điểm)</t>
    </r>
  </si>
  <si>
    <r>
      <t xml:space="preserve">Là chủ nhiệm đề tài mà giải pháp cải tiến/ thay đổi thực hành chăm sóc dựa trên kết quả nghiên cứu được áp dụng ít nhất tại một khoa/ một nhóm đối tượng liên quan và đánh giá kết quả áp dụng
</t>
    </r>
    <r>
      <rPr>
        <sz val="13"/>
        <color indexed="8"/>
        <rFont val="Times New Roman"/>
        <family val="1"/>
      </rPr>
      <t>(6 điểm)</t>
    </r>
  </si>
  <si>
    <r>
      <t xml:space="preserve">Là chủ nhiệm đề tài mà giải pháp cải tiến/ thay đổi thực hành chăm sóc được đánh giá hiệu quả áp dụng
</t>
    </r>
    <r>
      <rPr>
        <sz val="13"/>
        <color indexed="8"/>
        <rFont val="Times New Roman"/>
        <family val="1"/>
      </rPr>
      <t>(8 điểm)</t>
    </r>
  </si>
  <si>
    <r>
      <t xml:space="preserve">Là chủ nhiệm đề tài mà giải pháp cải tiến/ thay đổi thực hành chăm sóc được đánh giá hiệu quả áp dụng và được áp dụng toàn viện
</t>
    </r>
    <r>
      <rPr>
        <sz val="13"/>
        <color indexed="8"/>
        <rFont val="Times New Roman"/>
        <family val="1"/>
      </rPr>
      <t>(10 điểm)</t>
    </r>
  </si>
  <si>
    <r>
      <t xml:space="preserve">Là chủ nhiệm đề tài mà  giải pháp cải tiến/ thay đổi thực hành chăm sóc dựa trên kết quả nghiên cứu được bệnh viện/ trường công nhận và được giải thưởng của trường/ bệnh viện 
</t>
    </r>
    <r>
      <rPr>
        <sz val="13"/>
        <color indexed="8"/>
        <rFont val="Times New Roman"/>
        <family val="1"/>
      </rPr>
      <t>(2 điểm)</t>
    </r>
  </si>
  <si>
    <r>
      <t xml:space="preserve">Là chủ nhiệm đề tài mà  giải pháp cải tiến/ thay đổi thực hành chăm sóc dựa trên kết quả nghiên cứu được công nhận và công bố trên các tạp chí có uy tín trong nước
</t>
    </r>
    <r>
      <rPr>
        <sz val="13"/>
        <color indexed="8"/>
        <rFont val="Times New Roman"/>
        <family val="1"/>
      </rPr>
      <t>(4 điểm)</t>
    </r>
  </si>
  <si>
    <r>
      <t xml:space="preserve">Là chủ nhiệm đề tài mà  giải pháp cải tiến/ thay đổi thực hành chăm sóc dựa trên kết quả nghiên cứu được nhận giải thưởng uy tín trong nước
</t>
    </r>
    <r>
      <rPr>
        <sz val="13"/>
        <color indexed="8"/>
        <rFont val="Times New Roman"/>
        <family val="1"/>
      </rPr>
      <t>(6 điểm)</t>
    </r>
  </si>
  <si>
    <r>
      <t xml:space="preserve">Là chủ nhiệm đề tài mà  giải pháp cải tiến/ thay đổi thực hành chăm sóc dựa trên kết quả nghiên cứu được công nhận và công bố trên các tạp chí có uy tín trong nước. Đang trong quá trình đăng ký bản quyền sở hữu trí tuệ
</t>
    </r>
    <r>
      <rPr>
        <sz val="13"/>
        <color indexed="8"/>
        <rFont val="Times New Roman"/>
        <family val="1"/>
      </rPr>
      <t>(8 điểm)</t>
    </r>
  </si>
  <si>
    <r>
      <t xml:space="preserve">Kết quả NCKH/SKCT, phát minh mới được đăng ký bản quyền sở hữu trí tuệ trong vòng 2 năm
</t>
    </r>
    <r>
      <rPr>
        <sz val="13"/>
        <color indexed="8"/>
        <rFont val="Times New Roman"/>
        <family val="1"/>
      </rPr>
      <t>(10 điểm)</t>
    </r>
  </si>
  <si>
    <r>
      <t xml:space="preserve">Biết được: các loại máy, VTYT tại khoa </t>
    </r>
    <r>
      <rPr>
        <sz val="13"/>
        <color indexed="8"/>
        <rFont val="Times New Roman"/>
        <family val="1"/>
      </rPr>
      <t>(1 điểm)</t>
    </r>
  </si>
  <si>
    <r>
      <t xml:space="preserve">Biết sử dụng, vận hành các trang thiết bị, VTYT tại khoa cần sự hỗ trợ thường xuyên. </t>
    </r>
    <r>
      <rPr>
        <sz val="13"/>
        <color indexed="8"/>
        <rFont val="Times New Roman"/>
        <family val="1"/>
      </rPr>
      <t>(2 điểm)</t>
    </r>
  </si>
  <si>
    <r>
      <t xml:space="preserve">Biết sử dụng, vận hành các trang thiết bị, VTYT tại khoa thỉnh thoảng cần sự hỗ trợ. </t>
    </r>
    <r>
      <rPr>
        <sz val="13"/>
        <color indexed="8"/>
        <rFont val="Times New Roman"/>
        <family val="1"/>
      </rPr>
      <t>(3 điểm)</t>
    </r>
  </si>
  <si>
    <r>
      <t xml:space="preserve">Biết sử dụng, vận hành các trang thiết bị, VTYT tại khoa một cách độc lập. </t>
    </r>
    <r>
      <rPr>
        <sz val="13"/>
        <color indexed="8"/>
        <rFont val="Times New Roman"/>
        <family val="1"/>
      </rPr>
      <t>(4 điểm)</t>
    </r>
  </si>
  <si>
    <r>
      <t xml:space="preserve">Có khả năng hướng dẩn quy trình, quy định về sử dụng, vận hành các trang thiết bị, VTYT tại khoa. </t>
    </r>
    <r>
      <rPr>
        <sz val="13"/>
        <color indexed="8"/>
        <rFont val="Times New Roman"/>
        <family val="1"/>
      </rPr>
      <t>(5 điểm)</t>
    </r>
  </si>
  <si>
    <r>
      <t xml:space="preserve">Xác định được các yêu cầu về trang thiết bị và vật tư phù hợp với chăm sóc bệnh nhân dựa trên bằng chứng khoa học. </t>
    </r>
    <r>
      <rPr>
        <sz val="13"/>
        <color indexed="8"/>
        <rFont val="Times New Roman"/>
        <family val="1"/>
      </rPr>
      <t>(3 điểm)</t>
    </r>
  </si>
  <si>
    <r>
      <t xml:space="preserve">Xác định được các yêu cầu về trang thiết bị và vật tư phù hợp với chăm sóc bệnh nhân dựa trên bằng chứng khoa học và có thực hiện đánh giá tại khoa đơn vị </t>
    </r>
    <r>
      <rPr>
        <sz val="13"/>
        <color indexed="8"/>
        <rFont val="Times New Roman"/>
        <family val="1"/>
      </rPr>
      <t xml:space="preserve"> (4 điểm)</t>
    </r>
  </si>
  <si>
    <r>
      <t xml:space="preserve">Đề xuất được các VTYT, trang thiết bị dựa trên bằng chứng khoa học và đánh giá thực tế tại khoa, đon vị </t>
    </r>
    <r>
      <rPr>
        <sz val="13"/>
        <color indexed="8"/>
        <rFont val="Times New Roman"/>
        <family val="1"/>
      </rPr>
      <t>(5 điểm)</t>
    </r>
  </si>
  <si>
    <r>
      <t xml:space="preserve">Lập được kế hoạch bảo quản trang thiết bị, vật tư
</t>
    </r>
    <r>
      <rPr>
        <sz val="13"/>
        <color indexed="8"/>
        <rFont val="Times New Roman"/>
        <family val="1"/>
      </rPr>
      <t>(6 điểm)</t>
    </r>
  </si>
  <si>
    <r>
      <t xml:space="preserve">Đảm bảo thực hiện kế hoạch đúng tiến độ </t>
    </r>
    <r>
      <rPr>
        <sz val="13"/>
        <color indexed="8"/>
        <rFont val="Times New Roman"/>
        <family val="1"/>
      </rPr>
      <t>(8 điểm)</t>
    </r>
  </si>
  <si>
    <r>
      <t xml:space="preserve">Có sáng kiến cải tiến trong bảo quản trang thiết bị, vật tư </t>
    </r>
    <r>
      <rPr>
        <sz val="13"/>
        <color indexed="8"/>
        <rFont val="Times New Roman"/>
        <family val="1"/>
      </rPr>
      <t>(10 điểm)</t>
    </r>
  </si>
  <si>
    <r>
      <t xml:space="preserve">Vận dụng thành thạo và xử lý các vấn đề phát sinh trong quá trình sử dụng các trang thiết bị, VTYT tại khoa </t>
    </r>
    <r>
      <rPr>
        <sz val="13"/>
        <color indexed="8"/>
        <rFont val="Times New Roman"/>
        <family val="1"/>
      </rPr>
      <t>(6 điểm)</t>
    </r>
  </si>
  <si>
    <r>
      <t xml:space="preserve">Hiểu rõ nguyên lý hoạt động và phòng ngửa các sự cố liên quan đến việc sử dụng trang thiết bị </t>
    </r>
    <r>
      <rPr>
        <sz val="13"/>
        <color indexed="8"/>
        <rFont val="Times New Roman"/>
        <family val="1"/>
      </rPr>
      <t>(8 điểm)</t>
    </r>
  </si>
  <si>
    <r>
      <t xml:space="preserve">Đánh giá, đo lường việc sử dụng, và đề xuất cải tiến chất lượng an toàn và hiệu quả. </t>
    </r>
    <r>
      <rPr>
        <sz val="13"/>
        <color indexed="8"/>
        <rFont val="Times New Roman"/>
        <family val="1"/>
      </rPr>
      <t>(10 điểm)</t>
    </r>
  </si>
  <si>
    <r>
      <t xml:space="preserve">Có nghiên cứu/đề án khảo sát hiệu quả kinh tế của một biện pháp, lĩnh vực chăm sóc tại khoa, đơn vị. </t>
    </r>
    <r>
      <rPr>
        <sz val="13"/>
        <color indexed="8"/>
        <rFont val="Times New Roman"/>
        <family val="1"/>
      </rPr>
      <t>(5 điểm)</t>
    </r>
  </si>
  <si>
    <r>
      <t xml:space="preserve">Có nghiên cứu/đề án khảo sát hiệu quả kinh tế của một biện pháp, lĩnh vực chăm sóc tại các khoa có nhu cầu. </t>
    </r>
    <r>
      <rPr>
        <sz val="13"/>
        <color indexed="8"/>
        <rFont val="Times New Roman"/>
        <family val="1"/>
      </rPr>
      <t>(10 điểm)</t>
    </r>
  </si>
  <si>
    <r>
      <t xml:space="preserve">Có đánh giá, phân tích nhu cầu nguồn nhân lực phục vụ cho công tác chăm sóc hiệu quả
 </t>
    </r>
    <r>
      <rPr>
        <sz val="13"/>
        <color indexed="8"/>
        <rFont val="Times New Roman"/>
        <family val="1"/>
      </rPr>
      <t>(5 điểm)</t>
    </r>
  </si>
  <si>
    <r>
      <t xml:space="preserve">Xây dựng được kế hoạch phân bổ nguồn nhân lực phù hợp nhu cầu chăm sóc tại khoa, đơn vị. </t>
    </r>
    <r>
      <rPr>
        <sz val="13"/>
        <color indexed="8"/>
        <rFont val="Times New Roman"/>
        <family val="1"/>
      </rPr>
      <t>(10 điểm)</t>
    </r>
  </si>
  <si>
    <r>
      <t xml:space="preserve">Có kế hoạch quản lý và dự toán nguồn tài chính phục vụ cho chăm sóc tại khoa, đơn vị.
 </t>
    </r>
    <r>
      <rPr>
        <sz val="13"/>
        <color indexed="8"/>
        <rFont val="Times New Roman"/>
        <family val="1"/>
      </rPr>
      <t>(5 điểm)</t>
    </r>
  </si>
  <si>
    <r>
      <t xml:space="preserve">Triển khai đánh giá và đo lường hiệu quả của kế hoạch. </t>
    </r>
    <r>
      <rPr>
        <sz val="13"/>
        <color indexed="8"/>
        <rFont val="Times New Roman"/>
        <family val="1"/>
      </rPr>
      <t>(10 điểm)</t>
    </r>
  </si>
  <si>
    <r>
      <t xml:space="preserve">Triển khai và báo cáo kết quả đề án cải tiến tại khoa, đơn vị. </t>
    </r>
    <r>
      <rPr>
        <sz val="13"/>
        <color indexed="8"/>
        <rFont val="Times New Roman"/>
        <family val="1"/>
      </rPr>
      <t>(5 điểm)</t>
    </r>
  </si>
  <si>
    <r>
      <t xml:space="preserve">Đề án được thẩm định và công nhận hiệu quả bởi Hội đồng chuyên môn.
Được triển khai ứng dụng tại bệnh viện. </t>
    </r>
    <r>
      <rPr>
        <sz val="13"/>
        <color indexed="8"/>
        <rFont val="Times New Roman"/>
        <family val="1"/>
      </rPr>
      <t>(10 điểm)</t>
    </r>
  </si>
  <si>
    <r>
      <t xml:space="preserve">Có kiến thức về an toàn lao động, sức khỏe nghề nghiệp 
</t>
    </r>
    <r>
      <rPr>
        <sz val="13"/>
        <color indexed="8"/>
        <rFont val="Times New Roman"/>
        <family val="1"/>
      </rPr>
      <t>(3 điểm)</t>
    </r>
  </si>
  <si>
    <r>
      <t xml:space="preserve">Có phổ biến, triển khai cho đồng nghiệp các nội dung liên quan đến sức khỏe nghề nghiệp và luật pháp về an toàn lao động 
</t>
    </r>
    <r>
      <rPr>
        <sz val="13"/>
        <color indexed="8"/>
        <rFont val="Times New Roman"/>
        <family val="1"/>
      </rPr>
      <t>(4 điểm)</t>
    </r>
  </si>
  <si>
    <r>
      <t xml:space="preserve">Đề xuất được các giải pháp bảo vệ sức khỏe nghề nghiệp và tăng cường lao động. </t>
    </r>
    <r>
      <rPr>
        <sz val="13"/>
        <color indexed="8"/>
        <rFont val="Times New Roman"/>
        <family val="1"/>
      </rPr>
      <t>(5 điểm)</t>
    </r>
  </si>
  <si>
    <t>Tuân thủ theo các quy trình về kiểm soát nhiễm khuẩn trong chăm sóc Người bệnh của khoa KSNK (6 điểm)</t>
  </si>
  <si>
    <r>
      <t xml:space="preserve">Có kế hoạch giám sát/tham gia giám sát tuân thủ các chính sách, quy trình </t>
    </r>
    <r>
      <rPr>
        <sz val="13"/>
        <color indexed="8"/>
        <rFont val="Times New Roman"/>
        <family val="1"/>
      </rPr>
      <t>(8 điểm)</t>
    </r>
  </si>
  <si>
    <r>
      <t xml:space="preserve">Có giải pháp cải thiện và tăng cường sự tuân thủ của nhân viên </t>
    </r>
    <r>
      <rPr>
        <sz val="13"/>
        <color indexed="8"/>
        <rFont val="Times New Roman"/>
        <family val="1"/>
      </rPr>
      <t>(10 điểm)</t>
    </r>
  </si>
  <si>
    <r>
      <t xml:space="preserve">Tuân thủ/triển khai các quy định dự phòng phơi nhiễm với các tác nhân gây bệnh và biết được phương pháp xử lý </t>
    </r>
    <r>
      <rPr>
        <sz val="13"/>
        <color indexed="8"/>
        <rFont val="Times New Roman"/>
        <family val="1"/>
      </rPr>
      <t>(3 điểm)</t>
    </r>
  </si>
  <si>
    <r>
      <t xml:space="preserve">Có kế hoạch giám sát/tham gia giám sát tuân thủ quy định
 </t>
    </r>
    <r>
      <rPr>
        <sz val="13"/>
        <color indexed="8"/>
        <rFont val="Times New Roman"/>
        <family val="1"/>
      </rPr>
      <t>(4 điểm)</t>
    </r>
  </si>
  <si>
    <r>
      <t xml:space="preserve">Có giải pháp cải thiện và tăng cường sự tuân thủ của nhân viên 
</t>
    </r>
    <r>
      <rPr>
        <sz val="13"/>
        <color indexed="8"/>
        <rFont val="Times New Roman"/>
        <family val="1"/>
      </rPr>
      <t>(5 điểm)</t>
    </r>
  </si>
  <si>
    <r>
      <t xml:space="preserve">Có kiến thức về an toàn phòng cháy chữa cháy và các trường hợp khẩn cấp khác (sử dụng các phương tiện chữa cháy, thoát hiểm,…) 
</t>
    </r>
    <r>
      <rPr>
        <sz val="13"/>
        <color indexed="8"/>
        <rFont val="Times New Roman"/>
        <family val="1"/>
      </rPr>
      <t>(3 điểm)</t>
    </r>
  </si>
  <si>
    <r>
      <t xml:space="preserve">Có kiến thức về xử lý/quản lý tinh huống </t>
    </r>
    <r>
      <rPr>
        <sz val="13"/>
        <color indexed="8"/>
        <rFont val="Times New Roman"/>
        <family val="1"/>
      </rPr>
      <t>(5 điểm)</t>
    </r>
  </si>
  <si>
    <r>
      <t xml:space="preserve">Nêu được những điểm mạnh, điểm yếu cá nhân và nguyện vọng phát triển nghề nghiệp.
 </t>
    </r>
    <r>
      <rPr>
        <sz val="13"/>
        <color indexed="8"/>
        <rFont val="Times New Roman"/>
        <family val="1"/>
      </rPr>
      <t>(4 điểm)</t>
    </r>
  </si>
  <si>
    <r>
      <t xml:space="preserve">Có kế hoạch và đang thực hiện kế hoạch phát triển nghề nghiệp.
</t>
    </r>
    <r>
      <rPr>
        <sz val="13"/>
        <color indexed="8"/>
        <rFont val="Times New Roman"/>
        <family val="1"/>
      </rPr>
      <t>(8 điểm)</t>
    </r>
  </si>
  <si>
    <r>
      <t xml:space="preserve">Đạt được các bằng cấp nâng cao trình độ chuyên môn, nghiệp vụ trong vòng 3 năm.
</t>
    </r>
    <r>
      <rPr>
        <sz val="13"/>
        <color indexed="8"/>
        <rFont val="Times New Roman"/>
        <family val="1"/>
      </rPr>
      <t>(10 điểm)</t>
    </r>
  </si>
  <si>
    <r>
      <t xml:space="preserve">Đạt được 12 tiết trong năm 
</t>
    </r>
    <r>
      <rPr>
        <sz val="13"/>
        <color indexed="8"/>
        <rFont val="Times New Roman"/>
        <family val="1"/>
      </rPr>
      <t>(6 điểm)</t>
    </r>
  </si>
  <si>
    <r>
      <t xml:space="preserve">Đạt được 24 tiết trong năm 
</t>
    </r>
    <r>
      <rPr>
        <sz val="13"/>
        <color indexed="8"/>
        <rFont val="Times New Roman"/>
        <family val="1"/>
      </rPr>
      <t>(8 điểm)</t>
    </r>
  </si>
  <si>
    <r>
      <t xml:space="preserve">Đạt được &gt;24 tiết trong năm
-Và ít nhất 50% các chương trình đào tạo tập huấn nâng cao kiến thức chuyên môn và kỹ năng khác do bệnh viện tổ chức
</t>
    </r>
    <r>
      <rPr>
        <sz val="13"/>
        <color indexed="8"/>
        <rFont val="Times New Roman"/>
        <family val="1"/>
      </rPr>
      <t>(10 điểm)</t>
    </r>
  </si>
  <si>
    <r>
      <t xml:space="preserve">Có thái độ tích cực với những đổi mới, quan điểm trái chiều, thể hiện sự lắng nghe các kiến nghị và các đề xuất, thử nghiệm các phương pháp mới 
</t>
    </r>
    <r>
      <rPr>
        <sz val="13"/>
        <color indexed="8"/>
        <rFont val="Times New Roman"/>
        <family val="1"/>
      </rPr>
      <t>(10 điểm)</t>
    </r>
  </si>
  <si>
    <r>
      <t xml:space="preserve">Tham gia hướng dẫn lâm sàng 
</t>
    </r>
    <r>
      <rPr>
        <sz val="13"/>
        <color indexed="8"/>
        <rFont val="Times New Roman"/>
        <family val="1"/>
      </rPr>
      <t>(4 điểm)</t>
    </r>
  </si>
  <si>
    <r>
      <t xml:space="preserve">Tham gia biên soạn nội dung chương trình đào tạo 
</t>
    </r>
    <r>
      <rPr>
        <sz val="13"/>
        <color indexed="8"/>
        <rFont val="Times New Roman"/>
        <family val="1"/>
      </rPr>
      <t>(6 điểm)</t>
    </r>
  </si>
  <si>
    <r>
      <t xml:space="preserve">Tham gia giảng dạy tại khoa/đơn vị
</t>
    </r>
    <r>
      <rPr>
        <sz val="13"/>
        <color indexed="8"/>
        <rFont val="Times New Roman"/>
        <family val="1"/>
      </rPr>
      <t>(8 điểm)</t>
    </r>
  </si>
  <si>
    <r>
      <t xml:space="preserve">Tham gia giảng dạy toàn bệnh viện 
</t>
    </r>
    <r>
      <rPr>
        <sz val="13"/>
        <color indexed="8"/>
        <rFont val="Times New Roman"/>
        <family val="1"/>
      </rPr>
      <t>(10 điểm)</t>
    </r>
  </si>
  <si>
    <r>
      <t xml:space="preserve">Có khảo sát các vấn đề còn tồn động trong hoạt động chăm sóc tại khoa, đơn vị 
</t>
    </r>
    <r>
      <rPr>
        <sz val="13"/>
        <color indexed="8"/>
        <rFont val="Times New Roman"/>
        <family val="1"/>
      </rPr>
      <t>(6 điểm)</t>
    </r>
  </si>
  <si>
    <r>
      <t xml:space="preserve">Phân tích để xác định các vấn đề tồn động cần khắc phục
</t>
    </r>
    <r>
      <rPr>
        <sz val="13"/>
        <color indexed="8"/>
        <rFont val="Times New Roman"/>
        <family val="1"/>
      </rPr>
      <t>(8 điểm)</t>
    </r>
  </si>
  <si>
    <r>
      <t xml:space="preserve">Có sự đánh giá và   theo dõi thường xuyên các vấn đề tồn động
</t>
    </r>
    <r>
      <rPr>
        <sz val="13"/>
        <color indexed="8"/>
        <rFont val="Times New Roman"/>
        <family val="1"/>
      </rPr>
      <t>(10 điểm)</t>
    </r>
  </si>
  <si>
    <r>
      <t xml:space="preserve">Có đưa ra biện pháp khắc phục nhằm đảm bảo chất lượng chăm sóc
</t>
    </r>
    <r>
      <rPr>
        <sz val="13"/>
        <color indexed="8"/>
        <rFont val="Times New Roman"/>
        <family val="1"/>
      </rPr>
      <t>(10 điểm)</t>
    </r>
  </si>
  <si>
    <r>
      <t xml:space="preserve">Xây dựng được kế hoạch cải tiến trong hoạt động chăm sóc tại khoa, đơn vị 
</t>
    </r>
    <r>
      <rPr>
        <sz val="13"/>
        <color indexed="8"/>
        <rFont val="Times New Roman"/>
        <family val="1"/>
      </rPr>
      <t>(6 điểm)</t>
    </r>
  </si>
  <si>
    <r>
      <t xml:space="preserve">Thực hiện kế hoạch cải tiến nâng cao
</t>
    </r>
    <r>
      <rPr>
        <sz val="13"/>
        <color indexed="8"/>
        <rFont val="Times New Roman"/>
        <family val="1"/>
      </rPr>
      <t>(8 điểm)</t>
    </r>
  </si>
  <si>
    <r>
      <t xml:space="preserve">Đánh giá hiệu quả cải tiến đã được thực hiện 
</t>
    </r>
    <r>
      <rPr>
        <sz val="13"/>
        <color indexed="8"/>
        <rFont val="Times New Roman"/>
        <family val="1"/>
      </rPr>
      <t>(10 điểm)</t>
    </r>
  </si>
  <si>
    <r>
      <rPr>
        <b/>
        <sz val="13"/>
        <color indexed="8"/>
        <rFont val="Times New Roman"/>
        <family val="1"/>
      </rPr>
      <t xml:space="preserve">
Cách tính thâm niên công tác đối với những nhân viên đã công tác tại các bệnh viện khác trước khi làm việc tại BV ĐHYD
</t>
    </r>
    <r>
      <rPr>
        <sz val="13"/>
        <color indexed="8"/>
        <rFont val="Times New Roman"/>
        <family val="1"/>
      </rPr>
      <t xml:space="preserve">
</t>
    </r>
    <r>
      <rPr>
        <b/>
        <sz val="13"/>
        <color indexed="8"/>
        <rFont val="Times New Roman"/>
        <family val="1"/>
      </rPr>
      <t>Ghi chú</t>
    </r>
    <r>
      <rPr>
        <sz val="13"/>
        <color indexed="8"/>
        <rFont val="Times New Roman"/>
        <family val="1"/>
      </rPr>
      <t>: 1* và 2*: Bằng cấp trung học chỉ áp dụng đến năm 2024
                Đối với ĐD có thâm niên công tác từ các BV khác: trải nghiệm nghề nghiệp được tính bằng bậc lương theo BV chi trả quy đổi sang số năm (Ví dụ: Bậc lương CN là 2/9 --&gt; trải nghiệm nghề nghiệp: 2x3-6 năm, bậc lương TH là 2/12 --&gt; trải nghiệm nghề nghiệp: 2x2=4 năm)</t>
    </r>
  </si>
  <si>
    <t>Hoàn thành 80% mục tiêu công việc đã được xác định 
(8 điểm)</t>
  </si>
  <si>
    <t>Hoàn thành 100%
 mục tiêu công việc 
đã được xác định
 (10 điểm)</t>
  </si>
  <si>
    <t>Xây dựng được mục tiêu công việc theo vị trí phân công
(6 điểm)</t>
  </si>
  <si>
    <t>Hoàn thành 100%
 mục tiêu công việc
 đã được xác định
 (10 điểm)</t>
  </si>
  <si>
    <r>
      <t xml:space="preserve">Có sự phân công vai trò của các thành viên trong nhóm chăm sóc </t>
    </r>
    <r>
      <rPr>
        <sz val="13"/>
        <color indexed="8"/>
        <rFont val="Times New Roman"/>
        <family val="1"/>
      </rPr>
      <t>(6 điểm)</t>
    </r>
  </si>
  <si>
    <r>
      <t xml:space="preserve">Có sự giám sát hỗ trợ cho các thành viên của nhóm chăm sóc </t>
    </r>
    <r>
      <rPr>
        <sz val="13"/>
        <color indexed="8"/>
        <rFont val="Times New Roman"/>
        <family val="1"/>
      </rPr>
      <t>(8 điểm)</t>
    </r>
  </si>
  <si>
    <r>
      <t xml:space="preserve">Có sự phân công, hỗ trợ và chia sẻ thông tin trong nhóm </t>
    </r>
    <r>
      <rPr>
        <sz val="13"/>
        <color indexed="8"/>
        <rFont val="Times New Roman"/>
        <family val="1"/>
      </rPr>
      <t>(10 điểm)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</si>
</sst>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5" x14ac:knownFonts="1">
    <font>
      <sz val="11"/>
      <color theme="1"/>
      <name val="Calibri"/>
      <family val="2"/>
      <scheme val="minor"/>
    </font>
    <font>
      <sz val="12"/>
      <color indexed="8"/>
      <name val="Times New Roman"/>
      <family val="1"/>
    </font>
    <font>
      <i/>
      <sz val="13"/>
      <color indexed="9"/>
      <name val="Times New Roman"/>
      <family val="1"/>
    </font>
    <font>
      <i/>
      <sz val="10"/>
      <color indexed="30"/>
      <name val="Times New Roman"/>
      <family val="1"/>
    </font>
    <font>
      <sz val="12"/>
      <color indexed="8"/>
      <name val="Calibri"/>
      <family val="2"/>
    </font>
    <font>
      <i/>
      <sz val="10"/>
      <name val="Times New Roman"/>
      <family val="1"/>
    </font>
    <font>
      <sz val="10"/>
      <name val="Times New Roman"/>
      <family val="1"/>
    </font>
    <font>
      <b/>
      <sz val="9"/>
      <name val="Times New Roman"/>
      <family val="1"/>
    </font>
    <font>
      <sz val="13"/>
      <color indexed="8"/>
      <name val="Times New Roman"/>
      <family val="1"/>
    </font>
    <font>
      <i/>
      <sz val="13"/>
      <color indexed="8"/>
      <name val="Times New Roman"/>
      <family val="1"/>
    </font>
    <font>
      <sz val="13"/>
      <name val="Times New Roman"/>
      <family val="1"/>
    </font>
    <font>
      <b/>
      <sz val="13"/>
      <name val="Times New Roman"/>
      <family val="1"/>
    </font>
    <font>
      <i/>
      <sz val="13"/>
      <name val="Times New Roman"/>
      <family val="1"/>
    </font>
    <font>
      <i/>
      <sz val="11"/>
      <color indexed="8"/>
      <name val="Times New Roman"/>
      <family val="1"/>
    </font>
    <font>
      <sz val="12"/>
      <name val="Times New Roman"/>
      <family val="1"/>
    </font>
    <font>
      <sz val="14"/>
      <name val="Times New Roman"/>
      <family val="1"/>
    </font>
    <font>
      <sz val="14"/>
      <name val="Calibri"/>
      <family val="2"/>
    </font>
    <font>
      <b/>
      <sz val="10"/>
      <name val="Times New Roman"/>
      <family val="1"/>
    </font>
    <font>
      <i/>
      <sz val="12"/>
      <name val="Times New Roman"/>
      <family val="1"/>
    </font>
    <font>
      <sz val="11"/>
      <color theme="1"/>
      <name val="Calibri"/>
      <family val="2"/>
      <scheme val="minor"/>
    </font>
    <font>
      <b/>
      <sz val="13"/>
      <color theme="1"/>
      <name val="Times New Roman"/>
      <family val="1"/>
    </font>
    <font>
      <b/>
      <sz val="20"/>
      <color rgb="FFC00000"/>
      <name val="Times New Roman"/>
      <family val="1"/>
    </font>
    <font>
      <b/>
      <sz val="13"/>
      <color theme="0"/>
      <name val="Times New Roman"/>
      <family val="1"/>
    </font>
    <font>
      <b/>
      <sz val="13"/>
      <color theme="1" tint="0.14999847407452621"/>
      <name val="Times New Roman"/>
      <family val="1"/>
    </font>
    <font>
      <b/>
      <sz val="20"/>
      <color theme="1" tint="0.14999847407452621"/>
      <name val="Times New Roman"/>
      <family val="1"/>
    </font>
    <font>
      <sz val="13"/>
      <color theme="1"/>
      <name val="Times New Roman"/>
      <family val="1"/>
    </font>
    <font>
      <sz val="13"/>
      <color theme="0"/>
      <name val="Calibri"/>
      <family val="2"/>
      <scheme val="minor"/>
    </font>
    <font>
      <b/>
      <sz val="13"/>
      <color theme="2" tint="-0.249977111117893"/>
      <name val="Times New Roman"/>
      <family val="1"/>
    </font>
    <font>
      <b/>
      <sz val="18"/>
      <color theme="0"/>
      <name val="Times New Roman"/>
      <family val="1"/>
    </font>
    <font>
      <b/>
      <i/>
      <sz val="18"/>
      <color theme="0"/>
      <name val="Times New Roman"/>
      <family val="1"/>
    </font>
    <font>
      <i/>
      <sz val="13"/>
      <color theme="1"/>
      <name val="Times New Roman"/>
      <family val="1"/>
    </font>
    <font>
      <i/>
      <sz val="11"/>
      <color theme="1"/>
      <name val="Times New Roman"/>
      <family val="1"/>
    </font>
    <font>
      <sz val="13"/>
      <color theme="1" tint="0.14999847407452621"/>
      <name val="Times New Roman"/>
      <family val="1"/>
    </font>
    <font>
      <sz val="13"/>
      <color rgb="FFC00000"/>
      <name val="Times New Roman"/>
      <family val="1"/>
    </font>
    <font>
      <sz val="13"/>
      <color theme="0"/>
      <name val="Times New Roman"/>
      <family val="1"/>
    </font>
    <font>
      <i/>
      <sz val="13"/>
      <color theme="1" tint="0.14999847407452621"/>
      <name val="Times New Roman"/>
      <family val="1"/>
    </font>
    <font>
      <b/>
      <i/>
      <sz val="18"/>
      <color theme="1"/>
      <name val="Times New Roman"/>
      <family val="1"/>
    </font>
    <font>
      <b/>
      <sz val="18"/>
      <color theme="1"/>
      <name val="Times New Roman"/>
      <family val="1"/>
    </font>
    <font>
      <sz val="13"/>
      <color theme="1"/>
      <name val="Calibri"/>
      <family val="2"/>
      <scheme val="minor"/>
    </font>
    <font>
      <b/>
      <sz val="13"/>
      <color theme="8" tint="-0.499984740745262"/>
      <name val="Times New Roman"/>
      <family val="1"/>
    </font>
    <font>
      <sz val="13"/>
      <color theme="2" tint="-0.499984740745262"/>
      <name val="Times New Roman"/>
      <family val="1"/>
    </font>
    <font>
      <sz val="20"/>
      <color theme="2" tint="-0.499984740745262"/>
      <name val="Times New Roman"/>
      <family val="1"/>
    </font>
    <font>
      <b/>
      <sz val="13"/>
      <color rgb="FFC00000"/>
      <name val="Times New Roman"/>
      <family val="1"/>
    </font>
    <font>
      <sz val="13"/>
      <color rgb="FFC00000"/>
      <name val="Calibri"/>
      <family val="2"/>
      <scheme val="minor"/>
    </font>
    <font>
      <b/>
      <sz val="8"/>
      <color theme="0"/>
      <name val="Times New Roman"/>
      <family val="1"/>
    </font>
    <font>
      <b/>
      <sz val="18"/>
      <color rgb="FFC00000"/>
      <name val="Times New Roman"/>
      <family val="1"/>
    </font>
    <font>
      <b/>
      <i/>
      <sz val="18"/>
      <color rgb="FFC00000"/>
      <name val="Times New Roman"/>
      <family val="1"/>
    </font>
    <font>
      <b/>
      <i/>
      <sz val="13"/>
      <color rgb="FFC00000"/>
      <name val="Times New Roman"/>
      <family val="1"/>
    </font>
    <font>
      <b/>
      <sz val="12"/>
      <color theme="1"/>
      <name val="Times New Roman"/>
      <family val="1"/>
    </font>
    <font>
      <sz val="12"/>
      <color theme="1"/>
      <name val="Calibri"/>
      <family val="2"/>
      <scheme val="minor"/>
    </font>
    <font>
      <b/>
      <sz val="12"/>
      <color rgb="FFC00000"/>
      <name val="Times New Roman"/>
      <family val="1"/>
    </font>
    <font>
      <sz val="12"/>
      <color rgb="FFC00000"/>
      <name val="Calibri"/>
      <family val="2"/>
      <scheme val="minor"/>
    </font>
    <font>
      <sz val="12"/>
      <color theme="1"/>
      <name val="Times New Roman"/>
      <family val="1"/>
    </font>
    <font>
      <sz val="12"/>
      <color theme="1" tint="4.9989318521683403E-2"/>
      <name val="Times New Roman"/>
      <family val="1"/>
    </font>
    <font>
      <b/>
      <sz val="16"/>
      <color theme="0"/>
      <name val="Times New Roman"/>
      <family val="1"/>
    </font>
    <font>
      <b/>
      <sz val="13"/>
      <color theme="5" tint="-0.499984740745262"/>
      <name val="Times New Roman"/>
      <family val="1"/>
    </font>
    <font>
      <b/>
      <sz val="12"/>
      <color theme="8" tint="-0.499984740745262"/>
      <name val="Times New Roman"/>
      <family val="1"/>
    </font>
    <font>
      <b/>
      <sz val="12"/>
      <color theme="0"/>
      <name val="Times New Roman"/>
      <family val="1"/>
    </font>
    <font>
      <b/>
      <sz val="12"/>
      <color theme="2" tint="-0.249977111117893"/>
      <name val="Times New Roman"/>
      <family val="1"/>
    </font>
    <font>
      <b/>
      <sz val="13"/>
      <color rgb="FF7030A0"/>
      <name val="Times New Roman"/>
      <family val="1"/>
    </font>
    <font>
      <b/>
      <sz val="12"/>
      <color rgb="FF7030A0"/>
      <name val="Times New Roman"/>
      <family val="1"/>
    </font>
    <font>
      <b/>
      <sz val="13"/>
      <color theme="5" tint="-0.249977111117893"/>
      <name val="Times New Roman"/>
      <family val="1"/>
    </font>
    <font>
      <b/>
      <sz val="18"/>
      <color theme="6" tint="0.79998168889431442"/>
      <name val="Times New Roman"/>
      <family val="1"/>
    </font>
    <font>
      <b/>
      <sz val="13"/>
      <color theme="6" tint="-0.499984740745262"/>
      <name val="Times New Roman"/>
      <family val="1"/>
    </font>
    <font>
      <b/>
      <sz val="13"/>
      <color theme="9" tint="-0.499984740745262"/>
      <name val="Times New Roman"/>
      <family val="1"/>
    </font>
    <font>
      <b/>
      <sz val="13"/>
      <color theme="2" tint="-0.749992370372631"/>
      <name val="Times New Roman"/>
      <family val="1"/>
    </font>
    <font>
      <sz val="13"/>
      <color theme="2" tint="-0.749992370372631"/>
      <name val="Calibri"/>
      <family val="2"/>
      <scheme val="minor"/>
    </font>
    <font>
      <sz val="10"/>
      <color theme="1"/>
      <name val="Times New Roman"/>
      <family val="1"/>
    </font>
    <font>
      <b/>
      <sz val="10"/>
      <color theme="1"/>
      <name val="Times New Roman"/>
      <family val="1"/>
    </font>
    <font>
      <b/>
      <sz val="13"/>
      <color rgb="FF0070C0"/>
      <name val="Times New Roman"/>
      <family val="1"/>
    </font>
    <font>
      <sz val="12"/>
      <color theme="0"/>
      <name val="Times New Roman"/>
      <family val="1"/>
    </font>
    <font>
      <sz val="10"/>
      <color theme="0"/>
      <name val="Times New Roman"/>
      <family val="1"/>
    </font>
    <font>
      <sz val="13"/>
      <color theme="1" tint="4.9989318521683403E-2"/>
      <name val="Times New Roman"/>
      <family val="1"/>
    </font>
    <font>
      <b/>
      <sz val="11"/>
      <color theme="1"/>
      <name val="Times New Roman"/>
      <family val="1"/>
    </font>
    <font>
      <sz val="12"/>
      <color theme="0" tint="-0.34998626667073579"/>
      <name val="Times New Roman"/>
      <family val="1"/>
    </font>
    <font>
      <i/>
      <sz val="12"/>
      <color theme="1"/>
      <name val="Times New Roman"/>
      <family val="1"/>
    </font>
    <font>
      <b/>
      <sz val="18"/>
      <color rgb="FF0070C0"/>
      <name val="Times New Roman"/>
      <family val="1"/>
    </font>
    <font>
      <b/>
      <sz val="11"/>
      <color theme="2" tint="-0.249977111117893"/>
      <name val="Times New Roman"/>
      <family val="1"/>
    </font>
    <font>
      <b/>
      <i/>
      <sz val="13"/>
      <color theme="1" tint="0.499984740745262"/>
      <name val="Times New Roman"/>
      <family val="1"/>
    </font>
    <font>
      <b/>
      <sz val="10"/>
      <color theme="0"/>
      <name val="Times New Roman"/>
      <family val="1"/>
    </font>
    <font>
      <sz val="12"/>
      <color rgb="FFFF0000"/>
      <name val="Times New Roman"/>
      <family val="1"/>
    </font>
    <font>
      <i/>
      <sz val="10"/>
      <color theme="1"/>
      <name val="Times New Roman"/>
      <family val="1"/>
    </font>
    <font>
      <b/>
      <sz val="12"/>
      <color theme="3" tint="-0.249977111117893"/>
      <name val="Times New Roman"/>
      <family val="1"/>
    </font>
    <font>
      <b/>
      <i/>
      <sz val="10"/>
      <color theme="1"/>
      <name val="Times New Roman"/>
      <family val="1"/>
    </font>
    <font>
      <i/>
      <sz val="9"/>
      <color theme="1"/>
      <name val="Times New Roman"/>
      <family val="1"/>
    </font>
    <font>
      <b/>
      <sz val="24"/>
      <color theme="1"/>
      <name val="Times New Roman"/>
      <family val="1"/>
    </font>
    <font>
      <b/>
      <sz val="14"/>
      <color theme="1"/>
      <name val="Times New Roman"/>
      <family val="1"/>
    </font>
    <font>
      <b/>
      <sz val="15"/>
      <color rgb="FF0070C0"/>
      <name val="Times New Roman"/>
      <family val="1"/>
    </font>
    <font>
      <sz val="11"/>
      <color theme="1"/>
      <name val="Times New Roman"/>
      <family val="1"/>
    </font>
    <font>
      <sz val="9"/>
      <color rgb="FF0070C0"/>
      <name val="Times New Roman"/>
      <family val="1"/>
    </font>
    <font>
      <b/>
      <sz val="11.5"/>
      <color theme="3" tint="-0.249977111117893"/>
      <name val="Times New Roman"/>
      <family val="1"/>
    </font>
    <font>
      <b/>
      <sz val="13"/>
      <color theme="3" tint="-0.249977111117893"/>
      <name val="Times New Roman"/>
      <family val="1"/>
    </font>
    <font>
      <i/>
      <sz val="11"/>
      <name val="Times New Roman"/>
      <family val="1"/>
    </font>
    <font>
      <sz val="13"/>
      <name val="Microsoft Sans Serif"/>
      <family val="2"/>
    </font>
    <font>
      <b/>
      <sz val="13"/>
      <color indexed="8"/>
      <name val="Times New Roman"/>
      <family val="1"/>
    </font>
  </fonts>
  <fills count="61">
    <fill>
      <patternFill patternType="none"/>
    </fill>
    <fill>
      <patternFill patternType="gray125"/>
    </fill>
    <fill>
      <patternFill patternType="solid">
        <fgColor theme="3" tint="-0.499984740745262"/>
        <bgColor indexed="64"/>
      </patternFill>
    </fill>
    <fill>
      <patternFill patternType="solid">
        <fgColor theme="4" tint="-0.249977111117893"/>
        <bgColor indexed="64"/>
      </patternFill>
    </fill>
    <fill>
      <patternFill patternType="solid">
        <fgColor theme="6" tint="-0.499984740745262"/>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499984740745262"/>
        <bgColor indexed="64"/>
      </patternFill>
    </fill>
    <fill>
      <gradientFill type="path">
        <stop position="0">
          <color theme="0"/>
        </stop>
        <stop position="1">
          <color theme="7" tint="0.80001220740379042"/>
        </stop>
      </gradientFill>
    </fill>
    <fill>
      <gradientFill type="path">
        <stop position="0">
          <color theme="0"/>
        </stop>
        <stop position="1">
          <color theme="5" tint="0.80001220740379042"/>
        </stop>
      </gradientFill>
    </fill>
    <fill>
      <patternFill patternType="solid">
        <fgColor theme="6" tint="-0.499984740745262"/>
        <bgColor indexed="9"/>
      </patternFill>
    </fill>
    <fill>
      <gradientFill type="path">
        <stop position="0">
          <color theme="0"/>
        </stop>
        <stop position="1">
          <color theme="6" tint="0.80001220740379042"/>
        </stop>
      </gradientFill>
    </fill>
    <fill>
      <gradientFill type="path">
        <stop position="0">
          <color theme="0"/>
        </stop>
        <stop position="1">
          <color theme="9" tint="0.80001220740379042"/>
        </stop>
      </gradientFill>
    </fill>
    <fill>
      <patternFill patternType="solid">
        <fgColor theme="2" tint="-0.749992370372631"/>
        <bgColor indexed="9"/>
      </patternFill>
    </fill>
    <fill>
      <gradientFill type="path">
        <stop position="0">
          <color theme="0"/>
        </stop>
        <stop position="1">
          <color theme="2"/>
        </stop>
      </gradientFill>
    </fill>
    <fill>
      <patternFill patternType="solid">
        <fgColor theme="5" tint="0.59999389629810485"/>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6"/>
        <bgColor indexed="64"/>
      </patternFill>
    </fill>
    <fill>
      <patternFill patternType="solid">
        <fgColor theme="7" tint="0.39997558519241921"/>
        <bgColor indexed="64"/>
      </patternFill>
    </fill>
    <fill>
      <patternFill patternType="solid">
        <fgColor theme="8"/>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7" tint="0.79998168889431442"/>
        <bgColor indexed="64"/>
      </patternFill>
    </fill>
    <fill>
      <patternFill patternType="solid">
        <fgColor theme="3" tint="-0.249977111117893"/>
        <bgColor indexed="9"/>
      </patternFill>
    </fill>
    <fill>
      <patternFill patternType="solid">
        <fgColor theme="3" tint="-0.249977111117893"/>
        <bgColor indexed="64"/>
      </patternFill>
    </fill>
    <fill>
      <gradientFill degree="270">
        <stop position="0">
          <color theme="0"/>
        </stop>
        <stop position="1">
          <color theme="4"/>
        </stop>
      </gradientFill>
    </fill>
    <fill>
      <gradientFill degree="270">
        <stop position="0">
          <color theme="0"/>
        </stop>
        <stop position="1">
          <color theme="9"/>
        </stop>
      </gradientFill>
    </fill>
    <fill>
      <gradientFill degree="270">
        <stop position="0">
          <color theme="0"/>
        </stop>
        <stop position="1">
          <color theme="5"/>
        </stop>
      </gradientFill>
    </fill>
    <fill>
      <gradientFill degree="270">
        <stop position="0">
          <color theme="0"/>
        </stop>
        <stop position="1">
          <color rgb="FF00B0F0"/>
        </stop>
      </gradientFill>
    </fill>
    <fill>
      <gradientFill degree="270">
        <stop position="0">
          <color theme="0"/>
        </stop>
        <stop position="1">
          <color theme="7"/>
        </stop>
      </gradientFill>
    </fill>
    <fill>
      <gradientFill degree="270">
        <stop position="0">
          <color theme="0"/>
        </stop>
        <stop position="1">
          <color theme="8"/>
        </stop>
      </gradientFill>
    </fill>
    <fill>
      <gradientFill type="path" left="0.5" right="0.5" top="0.5" bottom="0.5">
        <stop position="0">
          <color theme="0"/>
        </stop>
        <stop position="1">
          <color theme="4"/>
        </stop>
      </gradientFill>
    </fill>
    <fill>
      <patternFill patternType="solid">
        <fgColor theme="6" tint="0.39997558519241921"/>
        <bgColor indexed="64"/>
      </patternFill>
    </fill>
    <fill>
      <patternFill patternType="solid">
        <fgColor theme="9" tint="0.79998168889431442"/>
        <bgColor indexed="64"/>
      </patternFill>
    </fill>
    <fill>
      <patternFill patternType="solid">
        <fgColor theme="6" tint="-0.249977111117893"/>
        <bgColor indexed="64"/>
      </patternFill>
    </fill>
    <fill>
      <gradientFill type="path" left="0.5" right="0.5" top="0.5" bottom="0.5">
        <stop position="0">
          <color theme="0"/>
        </stop>
        <stop position="1">
          <color theme="9"/>
        </stop>
      </gradientFill>
    </fill>
    <fill>
      <gradientFill type="path" left="1" right="1">
        <stop position="0">
          <color theme="0"/>
        </stop>
        <stop position="1">
          <color theme="5" tint="0.80001220740379042"/>
        </stop>
      </gradientFill>
    </fill>
    <fill>
      <gradientFill type="path" left="1" right="1">
        <stop position="0">
          <color theme="0"/>
        </stop>
        <stop position="1">
          <color theme="7" tint="0.80001220740379042"/>
        </stop>
      </gradientFill>
    </fill>
    <fill>
      <gradientFill type="path" left="1" right="1">
        <stop position="0">
          <color theme="0"/>
        </stop>
        <stop position="1">
          <color theme="6" tint="0.80001220740379042"/>
        </stop>
      </gradientFill>
    </fill>
    <fill>
      <gradientFill type="path" left="1" right="1">
        <stop position="0">
          <color theme="0"/>
        </stop>
        <stop position="1">
          <color theme="9" tint="0.80001220740379042"/>
        </stop>
      </gradientFill>
    </fill>
    <fill>
      <patternFill patternType="solid">
        <fgColor theme="2" tint="-9.9978637043366805E-2"/>
        <bgColor indexed="64"/>
      </patternFill>
    </fill>
    <fill>
      <gradientFill type="path" left="1" right="1">
        <stop position="0">
          <color theme="0"/>
        </stop>
        <stop position="1">
          <color theme="2"/>
        </stop>
      </gradientFill>
    </fill>
    <fill>
      <patternFill patternType="solid">
        <fgColor theme="5" tint="0.79995117038483843"/>
        <bgColor indexed="64"/>
      </patternFill>
    </fill>
    <fill>
      <patternFill patternType="solid">
        <fgColor theme="7" tint="0.79995117038483843"/>
        <bgColor indexed="64"/>
      </patternFill>
    </fill>
    <fill>
      <patternFill patternType="solid">
        <fgColor theme="6" tint="0.79995117038483843"/>
        <bgColor indexed="64"/>
      </patternFill>
    </fill>
    <fill>
      <patternFill patternType="solid">
        <fgColor theme="9" tint="0.79995117038483843"/>
        <bgColor indexed="64"/>
      </patternFill>
    </fill>
    <fill>
      <patternFill patternType="solid">
        <fgColor theme="3" tint="0.79995117038483843"/>
        <bgColor indexed="64"/>
      </patternFill>
    </fill>
    <fill>
      <gradientFill type="path" left="1" right="1">
        <stop position="0">
          <color theme="0"/>
        </stop>
        <stop position="1">
          <color theme="4" tint="0.79998168889431442"/>
        </stop>
      </gradientFill>
    </fill>
    <fill>
      <patternFill patternType="solid">
        <fgColor theme="0"/>
      </patternFill>
    </fill>
    <fill>
      <patternFill patternType="solid">
        <fgColor rgb="FFE3DFEB"/>
      </patternFill>
    </fill>
    <fill>
      <patternFill patternType="solid">
        <fgColor rgb="FFF1F1F1"/>
      </patternFill>
    </fill>
    <fill>
      <patternFill patternType="solid">
        <fgColor theme="9" tint="-0.249977111117893"/>
        <bgColor indexed="64"/>
      </patternFill>
    </fill>
  </fills>
  <borders count="8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hair">
        <color indexed="64"/>
      </left>
      <right style="hair">
        <color indexed="64"/>
      </right>
      <top style="thin">
        <color indexed="64"/>
      </top>
      <bottom style="hair">
        <color indexed="64"/>
      </bottom>
      <diagonal/>
    </border>
    <border>
      <left style="thin">
        <color indexed="64"/>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thin">
        <color indexed="64"/>
      </left>
      <right/>
      <top/>
      <bottom/>
      <diagonal/>
    </border>
    <border>
      <left/>
      <right style="hair">
        <color indexed="64"/>
      </right>
      <top style="hair">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rgb="FF000000"/>
      </left>
      <right/>
      <top style="thin">
        <color indexed="64"/>
      </top>
      <bottom/>
      <diagonal/>
    </border>
    <border>
      <left/>
      <right style="thin">
        <color rgb="FF000000"/>
      </right>
      <top style="hair">
        <color indexed="64"/>
      </top>
      <bottom style="thin">
        <color indexed="64"/>
      </bottom>
      <diagonal/>
    </border>
    <border>
      <left/>
      <right style="thin">
        <color indexed="64"/>
      </right>
      <top/>
      <bottom style="thin">
        <color rgb="FF000000"/>
      </bottom>
      <diagonal/>
    </border>
    <border>
      <left style="thin">
        <color indexed="64"/>
      </left>
      <right style="thin">
        <color indexed="64"/>
      </right>
      <top style="thin">
        <color indexed="64"/>
      </top>
      <bottom style="hair">
        <color rgb="FF000000"/>
      </bottom>
      <diagonal/>
    </border>
    <border>
      <left/>
      <right/>
      <top/>
      <bottom style="hair">
        <color rgb="FF000000"/>
      </bottom>
      <diagonal/>
    </border>
    <border>
      <left/>
      <right/>
      <top style="hair">
        <color rgb="FF000000"/>
      </top>
      <bottom/>
      <diagonal/>
    </border>
    <border>
      <left/>
      <right/>
      <top style="hair">
        <color rgb="FF000000"/>
      </top>
      <bottom style="thin">
        <color rgb="FF000000"/>
      </bottom>
      <diagonal/>
    </border>
    <border>
      <left/>
      <right style="hair">
        <color auto="1"/>
      </right>
      <top style="thin">
        <color auto="1"/>
      </top>
      <bottom/>
      <diagonal/>
    </border>
    <border>
      <left/>
      <right style="hair">
        <color auto="1"/>
      </right>
      <top/>
      <bottom/>
      <diagonal/>
    </border>
    <border>
      <left/>
      <right style="hair">
        <color auto="1"/>
      </right>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indexed="64"/>
      </top>
      <bottom style="thin">
        <color auto="1"/>
      </bottom>
      <diagonal/>
    </border>
    <border>
      <left style="hair">
        <color auto="1"/>
      </left>
      <right style="thin">
        <color auto="1"/>
      </right>
      <top/>
      <bottom/>
      <diagonal/>
    </border>
    <border>
      <left/>
      <right/>
      <top style="hair">
        <color auto="1"/>
      </top>
      <bottom style="hair">
        <color auto="1"/>
      </bottom>
      <diagonal/>
    </border>
    <border>
      <left/>
      <right/>
      <top style="hair">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hair">
        <color indexed="64"/>
      </right>
      <top/>
      <bottom style="hair">
        <color indexed="64"/>
      </bottom>
      <diagonal/>
    </border>
    <border>
      <left style="hair">
        <color indexed="64"/>
      </left>
      <right style="hair">
        <color indexed="64"/>
      </right>
      <top style="hair">
        <color indexed="64"/>
      </top>
      <bottom/>
      <diagonal/>
    </border>
    <border>
      <left/>
      <right style="thin">
        <color indexed="64"/>
      </right>
      <top style="hair">
        <color indexed="64"/>
      </top>
      <bottom style="thin">
        <color indexed="64"/>
      </bottom>
      <diagonal/>
    </border>
  </borders>
  <cellStyleXfs count="3">
    <xf numFmtId="0" fontId="0" fillId="0" borderId="0"/>
    <xf numFmtId="43" fontId="19" fillId="0" borderId="0" applyFont="0" applyFill="0" applyBorder="0" applyAlignment="0" applyProtection="0"/>
    <xf numFmtId="0" fontId="19" fillId="0" borderId="0"/>
  </cellStyleXfs>
  <cellXfs count="815">
    <xf numFmtId="0" fontId="0" fillId="0" borderId="0" xfId="0"/>
    <xf numFmtId="0" fontId="20" fillId="0" borderId="0" xfId="0" applyFont="1" applyAlignment="1">
      <alignment horizontal="center" vertical="center"/>
    </xf>
    <xf numFmtId="0" fontId="20" fillId="0" borderId="0" xfId="0" applyFont="1" applyAlignment="1">
      <alignment vertical="center"/>
    </xf>
    <xf numFmtId="164" fontId="20" fillId="0" borderId="0" xfId="1" applyNumberFormat="1" applyFont="1" applyAlignment="1">
      <alignment horizontal="center" vertical="center"/>
    </xf>
    <xf numFmtId="164" fontId="21" fillId="0" borderId="0" xfId="1" applyNumberFormat="1" applyFont="1" applyAlignment="1">
      <alignment horizontal="center" vertical="center"/>
    </xf>
    <xf numFmtId="0" fontId="22" fillId="2" borderId="0" xfId="0" applyFont="1" applyFill="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20" fillId="0" borderId="0" xfId="0" applyFont="1" applyAlignment="1">
      <alignment horizontal="center" vertical="center" wrapText="1"/>
    </xf>
    <xf numFmtId="0" fontId="0" fillId="0" borderId="0" xfId="0" applyAlignment="1">
      <alignment wrapText="1"/>
    </xf>
    <xf numFmtId="0" fontId="23" fillId="0" borderId="0" xfId="0" applyFont="1" applyAlignment="1">
      <alignment vertical="center"/>
    </xf>
    <xf numFmtId="0" fontId="24" fillId="0" borderId="0" xfId="0" applyFont="1" applyAlignment="1">
      <alignment vertical="center"/>
    </xf>
    <xf numFmtId="164" fontId="22" fillId="2" borderId="1" xfId="1" applyNumberFormat="1" applyFont="1" applyFill="1" applyBorder="1" applyAlignment="1">
      <alignment horizontal="center" vertical="center" wrapText="1"/>
    </xf>
    <xf numFmtId="0" fontId="22" fillId="2" borderId="2" xfId="0" applyFont="1" applyFill="1" applyBorder="1" applyAlignment="1">
      <alignment vertical="center"/>
    </xf>
    <xf numFmtId="0" fontId="20"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center" vertical="center"/>
    </xf>
    <xf numFmtId="164" fontId="25" fillId="0" borderId="3" xfId="1" applyNumberFormat="1" applyFont="1" applyFill="1" applyBorder="1" applyAlignment="1">
      <alignment horizontal="center" vertical="center" wrapText="1"/>
    </xf>
    <xf numFmtId="164" fontId="25" fillId="0" borderId="4" xfId="1" applyNumberFormat="1" applyFont="1" applyFill="1" applyBorder="1" applyAlignment="1">
      <alignment horizontal="center" vertical="center" wrapText="1"/>
    </xf>
    <xf numFmtId="0" fontId="26" fillId="2" borderId="0" xfId="0" applyFont="1" applyFill="1"/>
    <xf numFmtId="0" fontId="22" fillId="2" borderId="1" xfId="0" applyFont="1" applyFill="1" applyBorder="1" applyAlignment="1">
      <alignment horizontal="left" vertical="center"/>
    </xf>
    <xf numFmtId="0" fontId="27" fillId="2" borderId="5" xfId="0" applyFont="1" applyFill="1" applyBorder="1" applyAlignment="1">
      <alignment horizontal="center" vertical="center"/>
    </xf>
    <xf numFmtId="0" fontId="27" fillId="2" borderId="6" xfId="0" applyFont="1" applyFill="1" applyBorder="1" applyAlignment="1">
      <alignment horizontal="left" vertical="center"/>
    </xf>
    <xf numFmtId="0" fontId="28" fillId="3" borderId="0" xfId="0" applyFont="1" applyFill="1" applyAlignment="1">
      <alignment horizontal="center" vertical="center" wrapText="1"/>
    </xf>
    <xf numFmtId="164" fontId="25" fillId="0" borderId="1" xfId="1" applyNumberFormat="1" applyFont="1" applyFill="1" applyBorder="1" applyAlignment="1">
      <alignment horizontal="center" vertical="center" wrapText="1"/>
    </xf>
    <xf numFmtId="164" fontId="20" fillId="0" borderId="0" xfId="1" applyNumberFormat="1" applyFont="1" applyFill="1" applyAlignment="1">
      <alignment horizontal="center" vertical="center"/>
    </xf>
    <xf numFmtId="0" fontId="29" fillId="3" borderId="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applyAlignment="1">
      <alignment wrapText="1"/>
    </xf>
    <xf numFmtId="0" fontId="22" fillId="3" borderId="1" xfId="0" applyFont="1" applyFill="1" applyBorder="1" applyAlignment="1">
      <alignment horizontal="left" vertical="center" wrapText="1"/>
    </xf>
    <xf numFmtId="0" fontId="22" fillId="3" borderId="1" xfId="0" applyFont="1" applyFill="1" applyBorder="1" applyAlignment="1">
      <alignment horizontal="center" vertical="center" wrapText="1"/>
    </xf>
    <xf numFmtId="0" fontId="30" fillId="0" borderId="1" xfId="0" applyFont="1" applyBorder="1" applyAlignment="1">
      <alignment horizontal="left" vertical="center" wrapText="1"/>
    </xf>
    <xf numFmtId="0" fontId="25" fillId="0" borderId="1" xfId="0" applyFont="1" applyBorder="1" applyAlignment="1">
      <alignment horizontal="left" vertical="center" wrapText="1"/>
    </xf>
    <xf numFmtId="0" fontId="31" fillId="0" borderId="1" xfId="0" applyFont="1" applyBorder="1" applyAlignment="1">
      <alignment vertical="center" wrapText="1"/>
    </xf>
    <xf numFmtId="0" fontId="32" fillId="0" borderId="1" xfId="0" applyFont="1" applyBorder="1" applyAlignment="1">
      <alignment vertical="center" wrapText="1"/>
    </xf>
    <xf numFmtId="164" fontId="29" fillId="3" borderId="1" xfId="1" applyNumberFormat="1" applyFont="1" applyFill="1" applyBorder="1" applyAlignment="1">
      <alignment horizontal="center" vertical="center" wrapText="1"/>
    </xf>
    <xf numFmtId="0" fontId="32" fillId="0" borderId="0" xfId="0" applyFont="1" applyAlignment="1">
      <alignment vertical="center"/>
    </xf>
    <xf numFmtId="0" fontId="33" fillId="0" borderId="0" xfId="0" applyFont="1" applyAlignment="1">
      <alignment horizontal="center" vertical="center"/>
    </xf>
    <xf numFmtId="0" fontId="34" fillId="2" borderId="1" xfId="0" applyFont="1" applyFill="1" applyBorder="1" applyAlignment="1">
      <alignment vertical="center"/>
    </xf>
    <xf numFmtId="0" fontId="35" fillId="3" borderId="0" xfId="0" applyFont="1" applyFill="1" applyAlignment="1">
      <alignment vertical="center" wrapText="1"/>
    </xf>
    <xf numFmtId="0" fontId="22" fillId="4" borderId="0" xfId="0" applyFont="1" applyFill="1" applyAlignment="1">
      <alignment horizontal="center" vertical="center" wrapText="1"/>
    </xf>
    <xf numFmtId="164" fontId="25" fillId="5" borderId="1" xfId="1" applyNumberFormat="1" applyFont="1" applyFill="1" applyBorder="1" applyAlignment="1">
      <alignment horizontal="center" vertical="center" wrapText="1"/>
    </xf>
    <xf numFmtId="164" fontId="25" fillId="0" borderId="3" xfId="1" applyNumberFormat="1" applyFont="1" applyFill="1" applyBorder="1" applyAlignment="1">
      <alignment vertical="center" wrapText="1"/>
    </xf>
    <xf numFmtId="164" fontId="25" fillId="0" borderId="4" xfId="1" applyNumberFormat="1" applyFont="1" applyFill="1" applyBorder="1" applyAlignment="1">
      <alignment vertical="center" wrapText="1"/>
    </xf>
    <xf numFmtId="0" fontId="20" fillId="6" borderId="0" xfId="0" applyFont="1" applyFill="1" applyAlignment="1">
      <alignment horizontal="center" vertical="center" wrapText="1"/>
    </xf>
    <xf numFmtId="0" fontId="20" fillId="6" borderId="1" xfId="0" applyFont="1" applyFill="1" applyBorder="1" applyAlignment="1">
      <alignment horizontal="center" vertical="center" wrapText="1"/>
    </xf>
    <xf numFmtId="0" fontId="20" fillId="6" borderId="1" xfId="0" applyFont="1" applyFill="1" applyBorder="1" applyAlignment="1">
      <alignment horizontal="left" vertical="center" wrapText="1"/>
    </xf>
    <xf numFmtId="0" fontId="36" fillId="6" borderId="1" xfId="0" applyFont="1" applyFill="1" applyBorder="1" applyAlignment="1">
      <alignment horizontal="center" vertical="center" wrapText="1"/>
    </xf>
    <xf numFmtId="0" fontId="37" fillId="6" borderId="0" xfId="0" applyFont="1" applyFill="1" applyAlignment="1">
      <alignment horizontal="center" vertical="center" wrapText="1"/>
    </xf>
    <xf numFmtId="164" fontId="36" fillId="6" borderId="1" xfId="1" applyNumberFormat="1" applyFont="1" applyFill="1" applyBorder="1" applyAlignment="1">
      <alignment horizontal="center" vertical="center" wrapText="1"/>
    </xf>
    <xf numFmtId="0" fontId="30" fillId="6" borderId="0" xfId="0" applyFont="1" applyFill="1" applyAlignment="1">
      <alignment vertical="center" wrapText="1"/>
    </xf>
    <xf numFmtId="0" fontId="0" fillId="6" borderId="0" xfId="0" applyFill="1" applyAlignment="1">
      <alignment wrapText="1"/>
    </xf>
    <xf numFmtId="0" fontId="20" fillId="6" borderId="7" xfId="0" applyFont="1" applyFill="1" applyBorder="1" applyAlignment="1">
      <alignment horizontal="left" vertical="center" wrapText="1"/>
    </xf>
    <xf numFmtId="0" fontId="25" fillId="6" borderId="1" xfId="0" applyFont="1" applyFill="1" applyBorder="1" applyAlignment="1">
      <alignment vertical="center" wrapText="1"/>
    </xf>
    <xf numFmtId="0" fontId="30" fillId="0" borderId="3" xfId="0" applyFont="1" applyBorder="1" applyAlignment="1">
      <alignment vertical="center" wrapText="1"/>
    </xf>
    <xf numFmtId="0" fontId="30" fillId="0" borderId="8" xfId="0" applyFont="1" applyBorder="1" applyAlignment="1">
      <alignment vertical="center" wrapText="1"/>
    </xf>
    <xf numFmtId="0" fontId="30" fillId="0" borderId="7" xfId="0" applyFont="1" applyBorder="1" applyAlignment="1">
      <alignment vertical="center" wrapText="1"/>
    </xf>
    <xf numFmtId="0" fontId="23" fillId="0" borderId="8" xfId="0" applyFont="1" applyBorder="1" applyAlignment="1">
      <alignment vertical="center" wrapText="1"/>
    </xf>
    <xf numFmtId="0" fontId="23" fillId="0" borderId="7" xfId="0" applyFont="1" applyBorder="1" applyAlignment="1">
      <alignment vertical="center" wrapText="1"/>
    </xf>
    <xf numFmtId="0" fontId="31" fillId="0" borderId="8" xfId="0" applyFont="1" applyBorder="1" applyAlignment="1">
      <alignment vertical="center" wrapText="1"/>
    </xf>
    <xf numFmtId="0" fontId="31" fillId="0" borderId="7" xfId="0" applyFont="1" applyBorder="1" applyAlignment="1">
      <alignment vertical="center" wrapText="1"/>
    </xf>
    <xf numFmtId="0" fontId="31" fillId="7" borderId="3" xfId="0" applyFont="1" applyFill="1" applyBorder="1" applyAlignment="1">
      <alignment vertical="center" wrapText="1"/>
    </xf>
    <xf numFmtId="0" fontId="31" fillId="7" borderId="8" xfId="0" applyFont="1" applyFill="1" applyBorder="1" applyAlignment="1">
      <alignment vertical="center" wrapText="1"/>
    </xf>
    <xf numFmtId="0" fontId="31" fillId="7" borderId="7" xfId="0" applyFont="1" applyFill="1" applyBorder="1" applyAlignment="1">
      <alignment vertical="center" wrapText="1"/>
    </xf>
    <xf numFmtId="0" fontId="23" fillId="0" borderId="9" xfId="0" applyFont="1" applyBorder="1" applyAlignment="1">
      <alignment vertical="center" wrapText="1"/>
    </xf>
    <xf numFmtId="0" fontId="29" fillId="3" borderId="3" xfId="0" applyFont="1" applyFill="1" applyBorder="1" applyAlignment="1">
      <alignment horizontal="center" vertical="center" wrapText="1"/>
    </xf>
    <xf numFmtId="0" fontId="31" fillId="7" borderId="8" xfId="0" applyFont="1" applyFill="1" applyBorder="1" applyAlignment="1">
      <alignment horizontal="center" vertical="center" wrapText="1"/>
    </xf>
    <xf numFmtId="164" fontId="25" fillId="0" borderId="7" xfId="1" applyNumberFormat="1" applyFont="1" applyFill="1" applyBorder="1" applyAlignment="1">
      <alignment horizontal="center" vertical="center" wrapText="1"/>
    </xf>
    <xf numFmtId="0" fontId="25" fillId="0" borderId="8" xfId="0" applyFont="1" applyBorder="1" applyAlignment="1">
      <alignment vertical="center" wrapText="1"/>
    </xf>
    <xf numFmtId="0" fontId="25" fillId="0" borderId="7" xfId="0" applyFont="1" applyBorder="1" applyAlignment="1">
      <alignment vertical="center" wrapText="1"/>
    </xf>
    <xf numFmtId="0" fontId="32" fillId="7" borderId="1" xfId="0" applyFont="1" applyFill="1" applyBorder="1" applyAlignment="1">
      <alignment vertical="center" wrapText="1"/>
    </xf>
    <xf numFmtId="0" fontId="25" fillId="0" borderId="10" xfId="0" applyFont="1" applyBorder="1" applyAlignment="1">
      <alignment vertical="center" wrapText="1"/>
    </xf>
    <xf numFmtId="0" fontId="38" fillId="0" borderId="0" xfId="0" applyFont="1" applyAlignment="1">
      <alignment horizontal="center" vertical="center"/>
    </xf>
    <xf numFmtId="0" fontId="25" fillId="0" borderId="11" xfId="0" applyFont="1" applyBorder="1" applyAlignment="1">
      <alignment vertical="center" wrapText="1"/>
    </xf>
    <xf numFmtId="0" fontId="25" fillId="0" borderId="3" xfId="0" applyFont="1" applyBorder="1" applyAlignment="1">
      <alignment vertical="center" wrapText="1"/>
    </xf>
    <xf numFmtId="0" fontId="25" fillId="0" borderId="61" xfId="0" applyFont="1" applyBorder="1" applyAlignment="1">
      <alignment vertical="center" wrapText="1"/>
    </xf>
    <xf numFmtId="0" fontId="25" fillId="0" borderId="4" xfId="0" applyFont="1" applyBorder="1" applyAlignment="1">
      <alignment vertical="center" wrapText="1"/>
    </xf>
    <xf numFmtId="0" fontId="25" fillId="0" borderId="62" xfId="0" applyFont="1" applyBorder="1" applyAlignment="1">
      <alignment vertical="center" wrapText="1"/>
    </xf>
    <xf numFmtId="164" fontId="25" fillId="8" borderId="1" xfId="1" applyNumberFormat="1" applyFont="1" applyFill="1" applyBorder="1" applyAlignment="1">
      <alignment horizontal="center" vertical="center" wrapText="1"/>
    </xf>
    <xf numFmtId="0" fontId="39" fillId="0" borderId="12" xfId="0" applyFont="1" applyBorder="1" applyAlignment="1">
      <alignment vertical="center" wrapText="1"/>
    </xf>
    <xf numFmtId="0" fontId="40" fillId="0" borderId="0" xfId="0" applyFont="1" applyAlignment="1">
      <alignment horizontal="left" vertical="center"/>
    </xf>
    <xf numFmtId="0" fontId="41" fillId="0" borderId="0" xfId="0" applyFont="1" applyAlignment="1">
      <alignment horizontal="left" vertical="center"/>
    </xf>
    <xf numFmtId="0" fontId="40" fillId="0" borderId="13" xfId="0" applyFont="1" applyBorder="1" applyAlignment="1">
      <alignment horizontal="left" vertical="center" wrapText="1"/>
    </xf>
    <xf numFmtId="0" fontId="40" fillId="0" borderId="14" xfId="0" applyFont="1" applyBorder="1" applyAlignment="1">
      <alignment horizontal="left" vertical="center" wrapText="1"/>
    </xf>
    <xf numFmtId="0" fontId="40" fillId="0" borderId="15" xfId="0" applyFont="1" applyBorder="1" applyAlignment="1">
      <alignment horizontal="left" vertical="center" wrapText="1"/>
    </xf>
    <xf numFmtId="0" fontId="40" fillId="0" borderId="63" xfId="0" applyFont="1" applyBorder="1" applyAlignment="1">
      <alignment horizontal="left" vertical="center" wrapText="1"/>
    </xf>
    <xf numFmtId="0" fontId="42" fillId="9" borderId="0" xfId="0" applyFont="1" applyFill="1" applyAlignment="1">
      <alignment horizontal="center" vertical="center"/>
    </xf>
    <xf numFmtId="0" fontId="43" fillId="9" borderId="0" xfId="0" applyFont="1" applyFill="1" applyAlignment="1">
      <alignment horizontal="center" vertical="center"/>
    </xf>
    <xf numFmtId="0" fontId="22" fillId="4" borderId="0" xfId="0" applyFont="1" applyFill="1" applyAlignment="1">
      <alignment horizontal="left" vertical="center"/>
    </xf>
    <xf numFmtId="0" fontId="22" fillId="4" borderId="0" xfId="0" applyFont="1" applyFill="1" applyAlignment="1">
      <alignment vertical="center"/>
    </xf>
    <xf numFmtId="0" fontId="20" fillId="4" borderId="0" xfId="0" applyFont="1" applyFill="1" applyAlignment="1">
      <alignment horizontal="left" vertical="center"/>
    </xf>
    <xf numFmtId="0" fontId="21" fillId="4" borderId="0" xfId="0" applyFont="1" applyFill="1" applyAlignment="1">
      <alignment horizontal="left" vertical="center"/>
    </xf>
    <xf numFmtId="0" fontId="44" fillId="4" borderId="0" xfId="0" applyFont="1" applyFill="1" applyAlignment="1">
      <alignment horizontal="left" vertical="center"/>
    </xf>
    <xf numFmtId="0" fontId="45" fillId="10" borderId="1" xfId="0" applyFont="1" applyFill="1" applyBorder="1" applyAlignment="1">
      <alignment horizontal="left" vertical="center"/>
    </xf>
    <xf numFmtId="164" fontId="46" fillId="10" borderId="3" xfId="1" applyNumberFormat="1" applyFont="1" applyFill="1" applyBorder="1" applyAlignment="1">
      <alignment horizontal="center" vertical="center"/>
    </xf>
    <xf numFmtId="0" fontId="47" fillId="10" borderId="0" xfId="0" applyFont="1" applyFill="1" applyAlignment="1">
      <alignment horizontal="center" vertical="center"/>
    </xf>
    <xf numFmtId="0" fontId="25" fillId="0" borderId="16" xfId="0" applyFont="1" applyBorder="1" applyAlignment="1">
      <alignment vertical="center" wrapText="1"/>
    </xf>
    <xf numFmtId="0" fontId="23" fillId="8" borderId="0" xfId="0" applyFont="1" applyFill="1" applyAlignment="1">
      <alignment vertical="center" wrapText="1"/>
    </xf>
    <xf numFmtId="0" fontId="22" fillId="4" borderId="0" xfId="0" applyFont="1" applyFill="1" applyAlignment="1">
      <alignment vertical="center" wrapText="1"/>
    </xf>
    <xf numFmtId="0" fontId="22" fillId="11" borderId="0" xfId="0" applyFont="1" applyFill="1" applyAlignment="1">
      <alignment vertical="center"/>
    </xf>
    <xf numFmtId="0" fontId="20" fillId="11" borderId="0" xfId="0" applyFont="1" applyFill="1" applyAlignment="1">
      <alignment horizontal="left" vertical="center"/>
    </xf>
    <xf numFmtId="0" fontId="21" fillId="11" borderId="0" xfId="0" applyFont="1" applyFill="1" applyAlignment="1">
      <alignment horizontal="left" vertical="center"/>
    </xf>
    <xf numFmtId="0" fontId="22" fillId="12" borderId="0" xfId="0" applyFont="1" applyFill="1" applyAlignment="1">
      <alignment vertical="center"/>
    </xf>
    <xf numFmtId="0" fontId="48" fillId="0" borderId="0" xfId="0" applyFont="1" applyAlignment="1">
      <alignment horizontal="center" vertical="center"/>
    </xf>
    <xf numFmtId="0" fontId="48" fillId="0" borderId="0" xfId="0" applyFont="1" applyAlignment="1">
      <alignment horizontal="left" vertical="center"/>
    </xf>
    <xf numFmtId="164" fontId="48" fillId="0" borderId="0" xfId="1" applyNumberFormat="1" applyFont="1" applyAlignment="1">
      <alignment horizontal="center" vertical="center"/>
    </xf>
    <xf numFmtId="0" fontId="49" fillId="0" borderId="0" xfId="0" applyFont="1"/>
    <xf numFmtId="0" fontId="50" fillId="0" borderId="0" xfId="0" applyFont="1" applyAlignment="1">
      <alignment horizontal="left" vertical="center"/>
    </xf>
    <xf numFmtId="0" fontId="50" fillId="0" borderId="0" xfId="0" applyFont="1" applyAlignment="1">
      <alignment horizontal="center" vertical="center"/>
    </xf>
    <xf numFmtId="164" fontId="50" fillId="0" borderId="0" xfId="1" applyNumberFormat="1" applyFont="1" applyAlignment="1">
      <alignment horizontal="center" vertical="center"/>
    </xf>
    <xf numFmtId="0" fontId="51" fillId="9" borderId="0" xfId="0" applyFont="1" applyFill="1" applyAlignment="1">
      <alignment horizontal="center" vertical="center"/>
    </xf>
    <xf numFmtId="0" fontId="49" fillId="0" borderId="0" xfId="0" applyFont="1" applyAlignment="1">
      <alignment horizontal="center" vertical="center"/>
    </xf>
    <xf numFmtId="0" fontId="49" fillId="0" borderId="0" xfId="0" applyFont="1" applyAlignment="1">
      <alignment wrapText="1"/>
    </xf>
    <xf numFmtId="0" fontId="52" fillId="0" borderId="3" xfId="0" applyFont="1" applyBorder="1" applyAlignment="1">
      <alignment vertical="center" wrapText="1"/>
    </xf>
    <xf numFmtId="0" fontId="38" fillId="0" borderId="0" xfId="0" applyFont="1" applyAlignment="1">
      <alignment wrapText="1"/>
    </xf>
    <xf numFmtId="0" fontId="52" fillId="0" borderId="1" xfId="0" applyFont="1" applyBorder="1" applyAlignment="1">
      <alignment vertical="center" wrapText="1"/>
    </xf>
    <xf numFmtId="164" fontId="52" fillId="0" borderId="1" xfId="1" applyNumberFormat="1" applyFont="1" applyFill="1" applyBorder="1" applyAlignment="1">
      <alignment horizontal="center" vertical="center" wrapText="1"/>
    </xf>
    <xf numFmtId="0" fontId="52" fillId="0" borderId="5" xfId="0" applyFont="1" applyBorder="1" applyAlignment="1">
      <alignment horizontal="left" vertical="center" wrapText="1"/>
    </xf>
    <xf numFmtId="0" fontId="52" fillId="0" borderId="2" xfId="0" applyFont="1" applyBorder="1" applyAlignment="1">
      <alignment horizontal="right" vertical="center" wrapText="1"/>
    </xf>
    <xf numFmtId="164" fontId="52" fillId="0" borderId="17" xfId="1" quotePrefix="1" applyNumberFormat="1" applyFont="1" applyFill="1" applyBorder="1" applyAlignment="1">
      <alignment horizontal="right" vertical="center" wrapText="1"/>
    </xf>
    <xf numFmtId="164" fontId="52" fillId="0" borderId="1" xfId="1" applyNumberFormat="1" applyFont="1" applyBorder="1" applyAlignment="1">
      <alignment horizontal="center" vertical="center"/>
    </xf>
    <xf numFmtId="0" fontId="48" fillId="0" borderId="0" xfId="0" applyFont="1" applyAlignment="1">
      <alignment horizontal="center"/>
    </xf>
    <xf numFmtId="0" fontId="48" fillId="0" borderId="0" xfId="0" applyFont="1" applyAlignment="1">
      <alignment horizontal="left"/>
    </xf>
    <xf numFmtId="164" fontId="48" fillId="0" borderId="0" xfId="1" applyNumberFormat="1" applyFont="1" applyAlignment="1">
      <alignment horizontal="center"/>
    </xf>
    <xf numFmtId="0" fontId="50" fillId="0" borderId="0" xfId="0" applyFont="1" applyAlignment="1">
      <alignment horizontal="center"/>
    </xf>
    <xf numFmtId="0" fontId="50" fillId="0" borderId="0" xfId="0" applyFont="1" applyAlignment="1">
      <alignment horizontal="left"/>
    </xf>
    <xf numFmtId="164" fontId="50" fillId="0" borderId="0" xfId="1" applyNumberFormat="1" applyFont="1" applyAlignment="1">
      <alignment horizontal="center"/>
    </xf>
    <xf numFmtId="0" fontId="22" fillId="13" borderId="0" xfId="0" applyFont="1" applyFill="1"/>
    <xf numFmtId="0" fontId="43" fillId="9" borderId="0" xfId="0" applyFont="1" applyFill="1" applyAlignment="1">
      <alignment horizontal="center"/>
    </xf>
    <xf numFmtId="0" fontId="52" fillId="0" borderId="9" xfId="0" applyFont="1" applyBorder="1" applyAlignment="1">
      <alignment horizontal="right" wrapText="1"/>
    </xf>
    <xf numFmtId="0" fontId="52" fillId="0" borderId="18" xfId="0" applyFont="1" applyBorder="1" applyAlignment="1">
      <alignment horizontal="left" wrapText="1"/>
    </xf>
    <xf numFmtId="0" fontId="52" fillId="0" borderId="1" xfId="0" applyFont="1" applyBorder="1" applyAlignment="1">
      <alignment wrapText="1"/>
    </xf>
    <xf numFmtId="0" fontId="53" fillId="0" borderId="1" xfId="0" applyFont="1" applyBorder="1" applyAlignment="1">
      <alignment wrapText="1"/>
    </xf>
    <xf numFmtId="0" fontId="52" fillId="0" borderId="3" xfId="0" applyFont="1" applyBorder="1" applyAlignment="1">
      <alignment wrapText="1"/>
    </xf>
    <xf numFmtId="164" fontId="52" fillId="0" borderId="1" xfId="1" applyNumberFormat="1" applyFont="1" applyFill="1" applyBorder="1" applyAlignment="1">
      <alignment horizontal="left" wrapText="1"/>
    </xf>
    <xf numFmtId="0" fontId="52" fillId="0" borderId="1" xfId="0" applyFont="1" applyBorder="1" applyAlignment="1">
      <alignment horizontal="left" wrapText="1"/>
    </xf>
    <xf numFmtId="0" fontId="27" fillId="13" borderId="13" xfId="0" applyFont="1" applyFill="1" applyBorder="1" applyAlignment="1">
      <alignment horizontal="center" wrapText="1"/>
    </xf>
    <xf numFmtId="164" fontId="54" fillId="13" borderId="15" xfId="0" applyNumberFormat="1" applyFont="1" applyFill="1" applyBorder="1" applyAlignment="1">
      <alignment horizontal="left" wrapText="1"/>
    </xf>
    <xf numFmtId="0" fontId="55" fillId="9" borderId="6" xfId="0" applyFont="1" applyFill="1" applyBorder="1"/>
    <xf numFmtId="0" fontId="52" fillId="0" borderId="5" xfId="0" applyFont="1" applyBorder="1" applyAlignment="1">
      <alignment horizontal="right" wrapText="1"/>
    </xf>
    <xf numFmtId="0" fontId="52" fillId="0" borderId="5" xfId="0" applyFont="1" applyBorder="1" applyAlignment="1">
      <alignment horizontal="left" wrapText="1"/>
    </xf>
    <xf numFmtId="164" fontId="52" fillId="0" borderId="6" xfId="1" applyNumberFormat="1" applyFont="1" applyFill="1" applyBorder="1" applyAlignment="1">
      <alignment horizontal="center" wrapText="1"/>
    </xf>
    <xf numFmtId="0" fontId="48" fillId="0" borderId="0" xfId="0" applyFont="1" applyAlignment="1">
      <alignment horizontal="center" wrapText="1"/>
    </xf>
    <xf numFmtId="0" fontId="56" fillId="0" borderId="5" xfId="0" applyFont="1" applyBorder="1" applyAlignment="1">
      <alignment horizontal="right" wrapText="1"/>
    </xf>
    <xf numFmtId="0" fontId="56" fillId="0" borderId="5" xfId="0" applyFont="1" applyBorder="1" applyAlignment="1">
      <alignment horizontal="left" wrapText="1"/>
    </xf>
    <xf numFmtId="0" fontId="56" fillId="0" borderId="1" xfId="0" applyFont="1" applyBorder="1" applyAlignment="1">
      <alignment wrapText="1"/>
    </xf>
    <xf numFmtId="164" fontId="56" fillId="0" borderId="6" xfId="1" applyNumberFormat="1" applyFont="1" applyFill="1" applyBorder="1" applyAlignment="1">
      <alignment horizontal="center" wrapText="1"/>
    </xf>
    <xf numFmtId="164" fontId="52" fillId="0" borderId="1" xfId="1" applyNumberFormat="1" applyFont="1" applyFill="1" applyBorder="1" applyAlignment="1">
      <alignment wrapText="1"/>
    </xf>
    <xf numFmtId="0" fontId="57" fillId="13" borderId="0" xfId="0" applyFont="1" applyFill="1" applyAlignment="1">
      <alignment horizontal="left"/>
    </xf>
    <xf numFmtId="0" fontId="52" fillId="0" borderId="2" xfId="0" applyFont="1" applyBorder="1" applyAlignment="1">
      <alignment horizontal="right" wrapText="1"/>
    </xf>
    <xf numFmtId="0" fontId="52" fillId="0" borderId="64" xfId="0" applyFont="1" applyBorder="1" applyAlignment="1">
      <alignment wrapText="1"/>
    </xf>
    <xf numFmtId="164" fontId="52" fillId="0" borderId="65" xfId="1" applyNumberFormat="1" applyFont="1" applyFill="1" applyBorder="1" applyAlignment="1">
      <alignment horizontal="center" wrapText="1"/>
    </xf>
    <xf numFmtId="164" fontId="52" fillId="0" borderId="0" xfId="1" applyNumberFormat="1" applyFont="1" applyFill="1" applyBorder="1" applyAlignment="1">
      <alignment horizontal="center" wrapText="1"/>
    </xf>
    <xf numFmtId="164" fontId="52" fillId="0" borderId="66" xfId="1" applyNumberFormat="1" applyFont="1" applyFill="1" applyBorder="1" applyAlignment="1">
      <alignment horizontal="center" wrapText="1"/>
    </xf>
    <xf numFmtId="0" fontId="52" fillId="0" borderId="4" xfId="0" applyFont="1" applyBorder="1" applyAlignment="1">
      <alignment wrapText="1"/>
    </xf>
    <xf numFmtId="164" fontId="52" fillId="0" borderId="67" xfId="1" applyNumberFormat="1" applyFont="1" applyFill="1" applyBorder="1" applyAlignment="1">
      <alignment horizontal="center" wrapText="1"/>
    </xf>
    <xf numFmtId="164" fontId="52" fillId="0" borderId="1" xfId="1" quotePrefix="1" applyNumberFormat="1" applyFont="1" applyFill="1" applyBorder="1" applyAlignment="1">
      <alignment horizontal="right" vertical="center" wrapText="1"/>
    </xf>
    <xf numFmtId="164" fontId="53" fillId="0" borderId="1" xfId="1" applyNumberFormat="1" applyFont="1" applyFill="1" applyBorder="1" applyAlignment="1">
      <alignment horizontal="right" vertical="center" wrapText="1"/>
    </xf>
    <xf numFmtId="164" fontId="52" fillId="0" borderId="1" xfId="1" applyNumberFormat="1" applyFont="1" applyFill="1" applyBorder="1" applyAlignment="1">
      <alignment horizontal="center" wrapText="1"/>
    </xf>
    <xf numFmtId="164" fontId="54" fillId="14" borderId="19" xfId="0" applyNumberFormat="1" applyFont="1" applyFill="1" applyBorder="1" applyAlignment="1">
      <alignment horizontal="right" vertical="center" wrapText="1"/>
    </xf>
    <xf numFmtId="0" fontId="58" fillId="14" borderId="3" xfId="0" applyFont="1" applyFill="1" applyBorder="1" applyAlignment="1">
      <alignment horizontal="center" wrapText="1"/>
    </xf>
    <xf numFmtId="0" fontId="59" fillId="15" borderId="6" xfId="0" applyFont="1" applyFill="1" applyBorder="1" applyAlignment="1">
      <alignment horizontal="left" vertical="center"/>
    </xf>
    <xf numFmtId="164" fontId="60" fillId="15" borderId="1" xfId="0" applyNumberFormat="1" applyFont="1" applyFill="1" applyBorder="1" applyAlignment="1">
      <alignment vertical="center"/>
    </xf>
    <xf numFmtId="0" fontId="59" fillId="15" borderId="6" xfId="0" applyFont="1" applyFill="1" applyBorder="1" applyAlignment="1">
      <alignment horizontal="left" vertical="center" wrapText="1"/>
    </xf>
    <xf numFmtId="164" fontId="60" fillId="15" borderId="1" xfId="0" applyNumberFormat="1" applyFont="1" applyFill="1" applyBorder="1" applyAlignment="1">
      <alignment vertical="center" wrapText="1"/>
    </xf>
    <xf numFmtId="0" fontId="59" fillId="15" borderId="1" xfId="0" applyFont="1" applyFill="1" applyBorder="1" applyAlignment="1">
      <alignment horizontal="left" vertical="center" wrapText="1"/>
    </xf>
    <xf numFmtId="0" fontId="61" fillId="16" borderId="1" xfId="0" applyFont="1" applyFill="1" applyBorder="1" applyAlignment="1">
      <alignment horizontal="left"/>
    </xf>
    <xf numFmtId="0" fontId="61" fillId="16" borderId="1" xfId="0" applyFont="1" applyFill="1" applyBorder="1" applyAlignment="1">
      <alignment horizontal="right"/>
    </xf>
    <xf numFmtId="0" fontId="61" fillId="16" borderId="6" xfId="0" applyFont="1" applyFill="1" applyBorder="1" applyAlignment="1">
      <alignment horizontal="left"/>
    </xf>
    <xf numFmtId="164" fontId="62" fillId="17" borderId="15" xfId="0" applyNumberFormat="1" applyFont="1" applyFill="1" applyBorder="1" applyAlignment="1">
      <alignment vertical="center"/>
    </xf>
    <xf numFmtId="0" fontId="63" fillId="18" borderId="6" xfId="0" applyFont="1" applyFill="1" applyBorder="1" applyAlignment="1">
      <alignment horizontal="left" vertical="center"/>
    </xf>
    <xf numFmtId="0" fontId="63" fillId="18" borderId="6" xfId="0" applyFont="1" applyFill="1" applyBorder="1" applyAlignment="1">
      <alignment horizontal="right" vertical="center"/>
    </xf>
    <xf numFmtId="164" fontId="63" fillId="18" borderId="6" xfId="0" applyNumberFormat="1" applyFont="1" applyFill="1" applyBorder="1" applyAlignment="1">
      <alignment horizontal="right" vertical="center"/>
    </xf>
    <xf numFmtId="0" fontId="48" fillId="0" borderId="0" xfId="0" applyFont="1" applyAlignment="1">
      <alignment horizontal="center" vertical="center" wrapText="1"/>
    </xf>
    <xf numFmtId="0" fontId="64" fillId="19" borderId="6" xfId="0" applyFont="1" applyFill="1" applyBorder="1" applyAlignment="1">
      <alignment horizontal="left" vertical="center"/>
    </xf>
    <xf numFmtId="164" fontId="64" fillId="19" borderId="6" xfId="0" applyNumberFormat="1" applyFont="1" applyFill="1" applyBorder="1" applyAlignment="1">
      <alignment horizontal="right" vertical="center"/>
    </xf>
    <xf numFmtId="164" fontId="28" fillId="12" borderId="20" xfId="0" applyNumberFormat="1" applyFont="1" applyFill="1" applyBorder="1" applyAlignment="1">
      <alignment horizontal="center" vertical="center" wrapText="1"/>
    </xf>
    <xf numFmtId="0" fontId="27" fillId="14" borderId="13" xfId="0" applyFont="1" applyFill="1" applyBorder="1" applyAlignment="1">
      <alignment horizontal="center" wrapText="1"/>
    </xf>
    <xf numFmtId="0" fontId="27" fillId="4" borderId="21" xfId="0" applyFont="1" applyFill="1" applyBorder="1" applyAlignment="1">
      <alignment horizontal="center" vertical="center" wrapText="1"/>
    </xf>
    <xf numFmtId="0" fontId="27" fillId="12" borderId="22" xfId="0" applyFont="1" applyFill="1" applyBorder="1" applyAlignment="1">
      <alignment horizontal="center" vertical="center" wrapText="1"/>
    </xf>
    <xf numFmtId="0" fontId="27" fillId="11" borderId="22" xfId="0" applyFont="1" applyFill="1" applyBorder="1" applyAlignment="1">
      <alignment horizontal="center" vertical="center" wrapText="1"/>
    </xf>
    <xf numFmtId="164" fontId="28" fillId="20" borderId="20" xfId="0" applyNumberFormat="1" applyFont="1" applyFill="1" applyBorder="1" applyAlignment="1">
      <alignment vertical="center"/>
    </xf>
    <xf numFmtId="0" fontId="65" fillId="21" borderId="6" xfId="0" applyFont="1" applyFill="1" applyBorder="1" applyAlignment="1">
      <alignment horizontal="left" vertical="center"/>
    </xf>
    <xf numFmtId="164" fontId="65" fillId="21" borderId="6" xfId="0" applyNumberFormat="1" applyFont="1" applyFill="1" applyBorder="1" applyAlignment="1">
      <alignment horizontal="right" vertical="center"/>
    </xf>
    <xf numFmtId="0" fontId="66" fillId="0" borderId="0" xfId="0" applyFont="1" applyAlignment="1">
      <alignment wrapText="1"/>
    </xf>
    <xf numFmtId="0" fontId="58" fillId="11" borderId="23" xfId="0" applyFont="1" applyFill="1" applyBorder="1" applyAlignment="1">
      <alignment vertical="center"/>
    </xf>
    <xf numFmtId="164" fontId="52" fillId="0" borderId="24" xfId="1" quotePrefix="1" applyNumberFormat="1" applyFont="1" applyFill="1" applyBorder="1" applyAlignment="1">
      <alignment horizontal="right" vertical="center" wrapText="1"/>
    </xf>
    <xf numFmtId="164" fontId="65" fillId="21" borderId="13" xfId="0" applyNumberFormat="1" applyFont="1" applyFill="1" applyBorder="1" applyAlignment="1">
      <alignment horizontal="right" vertical="center"/>
    </xf>
    <xf numFmtId="0" fontId="67" fillId="0" borderId="0" xfId="0" applyFont="1" applyAlignment="1">
      <alignment vertical="center" wrapText="1"/>
    </xf>
    <xf numFmtId="0" fontId="67" fillId="0" borderId="0" xfId="0" quotePrefix="1" applyFont="1" applyAlignment="1">
      <alignment horizontal="right" vertical="center" wrapText="1"/>
    </xf>
    <xf numFmtId="0" fontId="68" fillId="0" borderId="0" xfId="0" applyFont="1" applyAlignment="1">
      <alignment vertical="center"/>
    </xf>
    <xf numFmtId="0" fontId="67" fillId="0" borderId="0" xfId="0" applyFont="1" applyAlignment="1">
      <alignment vertical="center"/>
    </xf>
    <xf numFmtId="0" fontId="52" fillId="0" borderId="0" xfId="0" applyFont="1" applyAlignment="1">
      <alignment vertical="center"/>
    </xf>
    <xf numFmtId="0" fontId="22" fillId="0" borderId="0" xfId="0" applyFont="1" applyAlignment="1">
      <alignment vertical="center"/>
    </xf>
    <xf numFmtId="0" fontId="7" fillId="5" borderId="0" xfId="0" applyFont="1" applyFill="1" applyAlignment="1">
      <alignment vertical="center"/>
    </xf>
    <xf numFmtId="164" fontId="48" fillId="0" borderId="0" xfId="1" applyNumberFormat="1" applyFont="1" applyBorder="1" applyAlignment="1">
      <alignment vertical="center"/>
    </xf>
    <xf numFmtId="0" fontId="22" fillId="14" borderId="19" xfId="0" applyFont="1" applyFill="1" applyBorder="1" applyAlignment="1">
      <alignment horizontal="center" vertical="center" wrapText="1"/>
    </xf>
    <xf numFmtId="0" fontId="22" fillId="4" borderId="19" xfId="0" applyFont="1" applyFill="1" applyBorder="1" applyAlignment="1">
      <alignment horizontal="center" vertical="center"/>
    </xf>
    <xf numFmtId="0" fontId="22" fillId="12" borderId="19" xfId="0" applyFont="1" applyFill="1" applyBorder="1" applyAlignment="1">
      <alignment horizontal="center" vertical="center"/>
    </xf>
    <xf numFmtId="0" fontId="10" fillId="5" borderId="0" xfId="0" applyFont="1" applyFill="1" applyAlignment="1">
      <alignment vertical="center"/>
    </xf>
    <xf numFmtId="164" fontId="20" fillId="0" borderId="0" xfId="1" applyNumberFormat="1" applyFont="1" applyBorder="1" applyAlignment="1">
      <alignment vertical="center"/>
    </xf>
    <xf numFmtId="0" fontId="11" fillId="5" borderId="0" xfId="0" applyFont="1" applyFill="1" applyAlignment="1">
      <alignment vertical="center"/>
    </xf>
    <xf numFmtId="0" fontId="69" fillId="0" borderId="0" xfId="0" applyFont="1" applyAlignment="1">
      <alignment horizontal="center" vertical="center" wrapText="1"/>
    </xf>
    <xf numFmtId="0" fontId="69" fillId="0" borderId="0" xfId="0" applyFont="1" applyAlignment="1">
      <alignment horizontal="center" vertical="center"/>
    </xf>
    <xf numFmtId="0" fontId="69" fillId="0" borderId="0" xfId="0" applyFont="1" applyAlignment="1">
      <alignment vertical="center"/>
    </xf>
    <xf numFmtId="0" fontId="10" fillId="0" borderId="1" xfId="0" applyFont="1" applyBorder="1" applyAlignment="1">
      <alignment horizontal="center" vertical="center"/>
    </xf>
    <xf numFmtId="0" fontId="11" fillId="5" borderId="0" xfId="0" applyFont="1" applyFill="1" applyAlignment="1">
      <alignment horizontal="center" vertical="center" wrapText="1"/>
    </xf>
    <xf numFmtId="0" fontId="11" fillId="30" borderId="0" xfId="0" applyFont="1" applyFill="1" applyAlignment="1">
      <alignment horizontal="right" vertical="center" wrapText="1"/>
    </xf>
    <xf numFmtId="0" fontId="11" fillId="24" borderId="1" xfId="0" applyFont="1" applyFill="1" applyBorder="1" applyAlignment="1">
      <alignment horizontal="center" vertical="center"/>
    </xf>
    <xf numFmtId="0" fontId="11" fillId="26" borderId="1" xfId="0" applyFont="1" applyFill="1" applyBorder="1" applyAlignment="1">
      <alignment horizontal="center" vertical="center"/>
    </xf>
    <xf numFmtId="0" fontId="11" fillId="27" borderId="1" xfId="0" applyFont="1" applyFill="1" applyBorder="1" applyAlignment="1">
      <alignment horizontal="center" vertical="center"/>
    </xf>
    <xf numFmtId="0" fontId="11" fillId="28" borderId="1" xfId="0" applyFont="1" applyFill="1" applyBorder="1" applyAlignment="1">
      <alignment horizontal="center" vertical="center"/>
    </xf>
    <xf numFmtId="0" fontId="11" fillId="29" borderId="1" xfId="0" applyFont="1" applyFill="1" applyBorder="1" applyAlignment="1">
      <alignment horizontal="center" vertical="center"/>
    </xf>
    <xf numFmtId="0" fontId="11" fillId="0" borderId="0" xfId="0" applyFont="1" applyAlignment="1">
      <alignment horizontal="right" vertical="center" wrapText="1"/>
    </xf>
    <xf numFmtId="0" fontId="11" fillId="0" borderId="0" xfId="0" applyFont="1" applyAlignment="1">
      <alignment horizontal="center" vertical="center"/>
    </xf>
    <xf numFmtId="0" fontId="11" fillId="0" borderId="0" xfId="0" applyFont="1" applyAlignment="1">
      <alignment vertical="center"/>
    </xf>
    <xf numFmtId="0" fontId="27" fillId="14" borderId="14" xfId="0" applyFont="1" applyFill="1" applyBorder="1" applyAlignment="1">
      <alignment vertical="center" wrapText="1"/>
    </xf>
    <xf numFmtId="164" fontId="25" fillId="0" borderId="11" xfId="1" applyNumberFormat="1" applyFont="1" applyFill="1" applyBorder="1" applyAlignment="1">
      <alignment vertical="center" wrapText="1"/>
    </xf>
    <xf numFmtId="164" fontId="25" fillId="5" borderId="11" xfId="1" applyNumberFormat="1" applyFont="1" applyFill="1" applyBorder="1" applyAlignment="1">
      <alignment vertical="center" wrapText="1"/>
    </xf>
    <xf numFmtId="164" fontId="25" fillId="5" borderId="12" xfId="1" applyNumberFormat="1" applyFont="1" applyFill="1" applyBorder="1" applyAlignment="1">
      <alignment vertical="center" wrapText="1"/>
    </xf>
    <xf numFmtId="0" fontId="25" fillId="0" borderId="1" xfId="0" applyFont="1" applyBorder="1" applyAlignment="1">
      <alignment horizontal="center" vertical="center" wrapText="1"/>
    </xf>
    <xf numFmtId="164" fontId="25" fillId="0" borderId="1" xfId="1" applyNumberFormat="1" applyFont="1" applyFill="1" applyBorder="1" applyAlignment="1">
      <alignment vertical="center" wrapText="1"/>
    </xf>
    <xf numFmtId="0" fontId="25" fillId="0" borderId="1" xfId="0" applyFont="1" applyBorder="1" applyAlignment="1">
      <alignment vertical="center" wrapText="1"/>
    </xf>
    <xf numFmtId="0" fontId="10" fillId="0" borderId="1" xfId="0" applyFont="1" applyBorder="1" applyAlignment="1">
      <alignment horizontal="left" vertical="center" wrapText="1"/>
    </xf>
    <xf numFmtId="164" fontId="25" fillId="5" borderId="1" xfId="1" applyNumberFormat="1" applyFont="1" applyFill="1" applyBorder="1" applyAlignment="1">
      <alignment vertical="center" wrapText="1"/>
    </xf>
    <xf numFmtId="0" fontId="11" fillId="24" borderId="3" xfId="0" applyFont="1" applyFill="1" applyBorder="1" applyAlignment="1">
      <alignment horizontal="center" vertical="center" wrapText="1"/>
    </xf>
    <xf numFmtId="0" fontId="10" fillId="0" borderId="7" xfId="0" applyFont="1" applyBorder="1" applyAlignment="1">
      <alignment horizontal="center" vertical="center"/>
    </xf>
    <xf numFmtId="0" fontId="11" fillId="26" borderId="3" xfId="0" applyFont="1" applyFill="1" applyBorder="1" applyAlignment="1">
      <alignment horizontal="center" vertical="center" wrapText="1"/>
    </xf>
    <xf numFmtId="0" fontId="11" fillId="27" borderId="3" xfId="0" applyFont="1" applyFill="1" applyBorder="1" applyAlignment="1">
      <alignment horizontal="center" vertical="center" wrapText="1"/>
    </xf>
    <xf numFmtId="0" fontId="11" fillId="28" borderId="3" xfId="0" applyFont="1" applyFill="1" applyBorder="1" applyAlignment="1">
      <alignment horizontal="center" vertical="center" wrapText="1"/>
    </xf>
    <xf numFmtId="0" fontId="11" fillId="29" borderId="3" xfId="0" applyFont="1" applyFill="1" applyBorder="1" applyAlignment="1">
      <alignment horizontal="center" vertical="center" wrapText="1"/>
    </xf>
    <xf numFmtId="0" fontId="11" fillId="24" borderId="9" xfId="0" applyFont="1" applyFill="1" applyBorder="1" applyAlignment="1">
      <alignment horizontal="center" vertical="center" wrapText="1"/>
    </xf>
    <xf numFmtId="0" fontId="11" fillId="25" borderId="3" xfId="0" applyFont="1" applyFill="1" applyBorder="1" applyAlignment="1">
      <alignment horizontal="center" vertical="center" wrapText="1"/>
    </xf>
    <xf numFmtId="0" fontId="12" fillId="24" borderId="26" xfId="0" applyFont="1" applyFill="1" applyBorder="1" applyAlignment="1">
      <alignment horizontal="center" vertical="center" wrapText="1"/>
    </xf>
    <xf numFmtId="0" fontId="12" fillId="25" borderId="7" xfId="0" applyFont="1" applyFill="1" applyBorder="1" applyAlignment="1">
      <alignment horizontal="center" vertical="center" wrapText="1"/>
    </xf>
    <xf numFmtId="0" fontId="12" fillId="26" borderId="7" xfId="0" applyFont="1" applyFill="1" applyBorder="1" applyAlignment="1">
      <alignment horizontal="center" vertical="center" wrapText="1"/>
    </xf>
    <xf numFmtId="0" fontId="12" fillId="27" borderId="7" xfId="0" applyFont="1" applyFill="1" applyBorder="1" applyAlignment="1">
      <alignment horizontal="center" vertical="center" wrapText="1"/>
    </xf>
    <xf numFmtId="0" fontId="12" fillId="28" borderId="7" xfId="0" applyFont="1" applyFill="1" applyBorder="1" applyAlignment="1">
      <alignment horizontal="center" vertical="center" wrapText="1"/>
    </xf>
    <xf numFmtId="0" fontId="12" fillId="29" borderId="7" xfId="0" applyFont="1" applyFill="1" applyBorder="1" applyAlignment="1">
      <alignment horizontal="center" vertical="center" wrapText="1"/>
    </xf>
    <xf numFmtId="0" fontId="12" fillId="24" borderId="7" xfId="0" applyFont="1" applyFill="1" applyBorder="1" applyAlignment="1">
      <alignment horizontal="center" vertical="center" wrapText="1"/>
    </xf>
    <xf numFmtId="0" fontId="11" fillId="25" borderId="1" xfId="0" applyFont="1" applyFill="1" applyBorder="1" applyAlignment="1">
      <alignment horizontal="center" vertical="center"/>
    </xf>
    <xf numFmtId="0" fontId="25" fillId="0" borderId="0" xfId="0" applyFont="1" applyAlignment="1">
      <alignment horizontal="left" vertical="center"/>
    </xf>
    <xf numFmtId="0" fontId="10" fillId="0" borderId="0" xfId="0" applyFont="1" applyAlignment="1">
      <alignment horizontal="center" vertical="center"/>
    </xf>
    <xf numFmtId="0" fontId="10" fillId="0" borderId="0" xfId="0" applyFont="1" applyAlignment="1">
      <alignment horizontal="left" vertical="center"/>
    </xf>
    <xf numFmtId="0" fontId="25" fillId="0" borderId="6" xfId="0" applyFont="1" applyBorder="1" applyAlignment="1">
      <alignment horizontal="left" vertical="center" wrapText="1"/>
    </xf>
    <xf numFmtId="0" fontId="52" fillId="0" borderId="0" xfId="0" applyFont="1" applyAlignment="1">
      <alignment horizontal="left" vertical="center"/>
    </xf>
    <xf numFmtId="0" fontId="70" fillId="0" borderId="0" xfId="0" applyFont="1" applyAlignment="1">
      <alignment vertical="center"/>
    </xf>
    <xf numFmtId="0" fontId="22" fillId="12" borderId="18" xfId="0" applyFont="1" applyFill="1" applyBorder="1" applyAlignment="1">
      <alignment horizontal="center" vertical="center"/>
    </xf>
    <xf numFmtId="0" fontId="71" fillId="0" borderId="0" xfId="0" applyFont="1" applyAlignment="1">
      <alignment vertical="center"/>
    </xf>
    <xf numFmtId="164" fontId="25" fillId="0" borderId="11" xfId="1" applyNumberFormat="1" applyFont="1" applyFill="1" applyBorder="1" applyAlignment="1">
      <alignment horizontal="right" vertical="center" wrapText="1"/>
    </xf>
    <xf numFmtId="164" fontId="25" fillId="0" borderId="12" xfId="1" applyNumberFormat="1" applyFont="1" applyFill="1" applyBorder="1" applyAlignment="1">
      <alignment horizontal="right" vertical="center" wrapText="1"/>
    </xf>
    <xf numFmtId="164" fontId="25" fillId="0" borderId="4" xfId="1" applyNumberFormat="1" applyFont="1" applyFill="1" applyBorder="1" applyAlignment="1">
      <alignment horizontal="right" vertical="center" wrapText="1"/>
    </xf>
    <xf numFmtId="164" fontId="25" fillId="0" borderId="27" xfId="1" applyNumberFormat="1" applyFont="1" applyFill="1" applyBorder="1" applyAlignment="1">
      <alignment horizontal="right" vertical="center" wrapText="1"/>
    </xf>
    <xf numFmtId="164" fontId="25" fillId="0" borderId="28" xfId="1" applyNumberFormat="1" applyFont="1" applyFill="1" applyBorder="1" applyAlignment="1">
      <alignment horizontal="right" vertical="center" wrapText="1"/>
    </xf>
    <xf numFmtId="0" fontId="25" fillId="0" borderId="6"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8" xfId="0" applyFont="1" applyBorder="1" applyAlignment="1">
      <alignment horizontal="left" vertical="center" wrapText="1"/>
    </xf>
    <xf numFmtId="164" fontId="25" fillId="0" borderId="8" xfId="1" applyNumberFormat="1" applyFont="1" applyFill="1" applyBorder="1" applyAlignment="1">
      <alignment vertical="center" wrapText="1"/>
    </xf>
    <xf numFmtId="0" fontId="25" fillId="0" borderId="3" xfId="0" applyFont="1" applyBorder="1" applyAlignment="1">
      <alignment horizontal="center" vertical="center" wrapText="1"/>
    </xf>
    <xf numFmtId="0" fontId="25" fillId="0" borderId="3" xfId="0" applyFont="1" applyBorder="1" applyAlignment="1">
      <alignment horizontal="left" vertical="center" wrapText="1"/>
    </xf>
    <xf numFmtId="0" fontId="25" fillId="0" borderId="7" xfId="0" applyFont="1" applyBorder="1" applyAlignment="1">
      <alignment horizontal="center" vertical="center" wrapText="1"/>
    </xf>
    <xf numFmtId="0" fontId="25" fillId="0" borderId="7" xfId="0" applyFont="1" applyBorder="1" applyAlignment="1">
      <alignment horizontal="left" vertical="center" wrapText="1"/>
    </xf>
    <xf numFmtId="164" fontId="25" fillId="0" borderId="7" xfId="1" applyNumberFormat="1" applyFont="1" applyFill="1" applyBorder="1" applyAlignment="1">
      <alignment vertical="center" wrapText="1"/>
    </xf>
    <xf numFmtId="0" fontId="72" fillId="0" borderId="3" xfId="0" applyFont="1" applyBorder="1" applyAlignment="1">
      <alignment horizontal="center" vertical="center" wrapText="1"/>
    </xf>
    <xf numFmtId="0" fontId="72" fillId="0" borderId="1" xfId="0" applyFont="1" applyBorder="1" applyAlignment="1">
      <alignment horizontal="center" vertical="center" wrapText="1"/>
    </xf>
    <xf numFmtId="0" fontId="72" fillId="0" borderId="8" xfId="0" applyFont="1" applyBorder="1" applyAlignment="1">
      <alignment horizontal="center" vertical="center" wrapText="1"/>
    </xf>
    <xf numFmtId="0" fontId="72" fillId="0" borderId="7" xfId="0" applyFont="1" applyBorder="1" applyAlignment="1">
      <alignment horizontal="center" vertical="center" wrapText="1"/>
    </xf>
    <xf numFmtId="0" fontId="14" fillId="0" borderId="0" xfId="0" applyFont="1" applyAlignment="1">
      <alignment vertical="center"/>
    </xf>
    <xf numFmtId="0" fontId="48" fillId="0" borderId="0" xfId="0" applyFont="1" applyAlignment="1">
      <alignment vertical="center"/>
    </xf>
    <xf numFmtId="164" fontId="48" fillId="0" borderId="0" xfId="1" applyNumberFormat="1" applyFont="1" applyAlignment="1">
      <alignment vertical="center"/>
    </xf>
    <xf numFmtId="0" fontId="11" fillId="34" borderId="1" xfId="0" applyFont="1" applyFill="1" applyBorder="1" applyAlignment="1">
      <alignment horizontal="center" vertical="center"/>
    </xf>
    <xf numFmtId="0" fontId="11" fillId="35" borderId="1" xfId="0" applyFont="1" applyFill="1" applyBorder="1" applyAlignment="1">
      <alignment horizontal="center" vertical="center" wrapText="1"/>
    </xf>
    <xf numFmtId="0" fontId="11" fillId="36" borderId="1" xfId="0" applyFont="1" applyFill="1" applyBorder="1" applyAlignment="1">
      <alignment horizontal="center" vertical="center" wrapText="1"/>
    </xf>
    <xf numFmtId="0" fontId="11" fillId="37" borderId="1" xfId="0" applyFont="1" applyFill="1" applyBorder="1" applyAlignment="1">
      <alignment horizontal="center" vertical="center" wrapText="1"/>
    </xf>
    <xf numFmtId="0" fontId="11" fillId="38" borderId="1" xfId="0" applyFont="1" applyFill="1" applyBorder="1" applyAlignment="1">
      <alignment horizontal="center" vertical="center" wrapText="1"/>
    </xf>
    <xf numFmtId="0" fontId="11" fillId="39" borderId="1" xfId="0" applyFont="1" applyFill="1" applyBorder="1" applyAlignment="1">
      <alignment horizontal="center" vertical="center" wrapText="1"/>
    </xf>
    <xf numFmtId="0" fontId="11" fillId="40" borderId="1" xfId="0" applyFont="1" applyFill="1" applyBorder="1" applyAlignment="1">
      <alignment horizontal="center" vertical="center"/>
    </xf>
    <xf numFmtId="0" fontId="5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73" fillId="0" borderId="1" xfId="0" applyFont="1" applyBorder="1" applyAlignment="1">
      <alignment horizontal="left" vertical="center"/>
    </xf>
    <xf numFmtId="0" fontId="52" fillId="0" borderId="1" xfId="0" applyFont="1" applyBorder="1" applyAlignment="1">
      <alignment horizontal="center" vertical="center"/>
    </xf>
    <xf numFmtId="164" fontId="52" fillId="0" borderId="1" xfId="1" applyNumberFormat="1" applyFont="1" applyBorder="1" applyAlignment="1">
      <alignment horizontal="center" vertical="center" wrapText="1"/>
    </xf>
    <xf numFmtId="0" fontId="14" fillId="0" borderId="1" xfId="0" applyFont="1" applyBorder="1" applyAlignment="1">
      <alignment horizontal="center" vertical="center"/>
    </xf>
    <xf numFmtId="0" fontId="73" fillId="0" borderId="1" xfId="0" applyFont="1" applyBorder="1" applyAlignment="1">
      <alignment horizontal="left" vertical="center" wrapText="1"/>
    </xf>
    <xf numFmtId="0" fontId="14" fillId="0" borderId="1" xfId="0" applyFont="1" applyBorder="1" applyAlignment="1">
      <alignment horizontal="left" vertical="center" wrapText="1"/>
    </xf>
    <xf numFmtId="0" fontId="74" fillId="0" borderId="1" xfId="0" applyFont="1" applyBorder="1" applyAlignment="1">
      <alignment horizontal="left" vertical="center" wrapText="1"/>
    </xf>
    <xf numFmtId="0" fontId="15" fillId="0" borderId="1" xfId="0" applyFont="1" applyBorder="1" applyAlignment="1">
      <alignment horizontal="center" vertical="center"/>
    </xf>
    <xf numFmtId="0" fontId="75" fillId="0" borderId="0" xfId="0" applyFont="1" applyAlignment="1">
      <alignment horizontal="left" vertical="center"/>
    </xf>
    <xf numFmtId="0" fontId="75" fillId="0" borderId="0" xfId="0" applyFont="1" applyAlignment="1">
      <alignment horizontal="center" vertical="center"/>
    </xf>
    <xf numFmtId="0" fontId="76" fillId="0" borderId="0" xfId="0" applyFont="1" applyAlignment="1">
      <alignment horizontal="center" vertical="center" wrapText="1"/>
    </xf>
    <xf numFmtId="0" fontId="76" fillId="0" borderId="0" xfId="0" applyFont="1" applyAlignment="1">
      <alignment horizontal="center" vertical="center"/>
    </xf>
    <xf numFmtId="0" fontId="77" fillId="13" borderId="13" xfId="0" applyFont="1" applyFill="1" applyBorder="1" applyAlignment="1">
      <alignment horizontal="center" vertical="center" wrapText="1"/>
    </xf>
    <xf numFmtId="0" fontId="52" fillId="0" borderId="25" xfId="0" applyFont="1" applyBorder="1" applyAlignment="1">
      <alignment vertical="center" wrapText="1"/>
    </xf>
    <xf numFmtId="164" fontId="52" fillId="0" borderId="29" xfId="1" applyNumberFormat="1" applyFont="1" applyFill="1" applyBorder="1" applyAlignment="1">
      <alignment horizontal="center" vertical="center" wrapText="1"/>
    </xf>
    <xf numFmtId="0" fontId="52" fillId="0" borderId="0" xfId="0" applyFont="1" applyAlignment="1">
      <alignment vertical="center" wrapText="1"/>
    </xf>
    <xf numFmtId="0" fontId="52" fillId="0" borderId="30" xfId="0" applyFont="1" applyBorder="1" applyAlignment="1">
      <alignment vertical="center" wrapText="1"/>
    </xf>
    <xf numFmtId="164" fontId="52" fillId="0" borderId="31" xfId="1" applyNumberFormat="1" applyFont="1" applyFill="1" applyBorder="1" applyAlignment="1">
      <alignment horizontal="center" vertical="center" wrapText="1"/>
    </xf>
    <xf numFmtId="164" fontId="52" fillId="0" borderId="32" xfId="1" applyNumberFormat="1" applyFont="1" applyFill="1" applyBorder="1" applyAlignment="1">
      <alignment horizontal="center" vertical="center" wrapText="1"/>
    </xf>
    <xf numFmtId="0" fontId="52" fillId="0" borderId="25" xfId="0" applyFont="1" applyBorder="1" applyAlignment="1">
      <alignment horizontal="center" vertical="center" wrapText="1"/>
    </xf>
    <xf numFmtId="164" fontId="52" fillId="0" borderId="25" xfId="1" applyNumberFormat="1" applyFont="1" applyFill="1" applyBorder="1" applyAlignment="1">
      <alignment horizontal="center" vertical="center" wrapText="1"/>
    </xf>
    <xf numFmtId="0" fontId="52" fillId="0" borderId="33" xfId="0" applyFont="1" applyBorder="1" applyAlignment="1">
      <alignment horizontal="center" vertical="center" wrapText="1"/>
    </xf>
    <xf numFmtId="0" fontId="52" fillId="0" borderId="33" xfId="0" applyFont="1" applyBorder="1" applyAlignment="1">
      <alignment vertical="center" wrapText="1"/>
    </xf>
    <xf numFmtId="164" fontId="52" fillId="0" borderId="33" xfId="1" applyNumberFormat="1" applyFont="1" applyFill="1" applyBorder="1" applyAlignment="1">
      <alignment horizontal="center" vertical="center" wrapText="1"/>
    </xf>
    <xf numFmtId="164" fontId="52" fillId="0" borderId="34" xfId="1" applyNumberFormat="1" applyFont="1" applyFill="1" applyBorder="1" applyAlignment="1">
      <alignment horizontal="center" vertical="center" wrapText="1"/>
    </xf>
    <xf numFmtId="0" fontId="52" fillId="0" borderId="30" xfId="0" applyFont="1" applyBorder="1" applyAlignment="1">
      <alignment horizontal="center" vertical="center" wrapText="1"/>
    </xf>
    <xf numFmtId="0" fontId="52" fillId="0" borderId="35" xfId="0" applyFont="1" applyBorder="1" applyAlignment="1">
      <alignment vertical="center" wrapText="1"/>
    </xf>
    <xf numFmtId="0" fontId="22" fillId="4" borderId="18" xfId="0" applyFont="1" applyFill="1" applyBorder="1" applyAlignment="1">
      <alignment horizontal="center" vertical="center"/>
    </xf>
    <xf numFmtId="0" fontId="77" fillId="4" borderId="13" xfId="0" applyFont="1" applyFill="1" applyBorder="1" applyAlignment="1">
      <alignment horizontal="center" vertical="center" wrapText="1"/>
    </xf>
    <xf numFmtId="0" fontId="77" fillId="12" borderId="13" xfId="0" applyFont="1" applyFill="1" applyBorder="1" applyAlignment="1">
      <alignment horizontal="center" vertical="center" wrapText="1"/>
    </xf>
    <xf numFmtId="0" fontId="78" fillId="32" borderId="18" xfId="0" applyFont="1" applyFill="1" applyBorder="1" applyAlignment="1">
      <alignment horizontal="center" vertical="center"/>
    </xf>
    <xf numFmtId="0" fontId="77" fillId="33" borderId="13" xfId="0" applyFont="1" applyFill="1" applyBorder="1" applyAlignment="1">
      <alignment horizontal="center" vertical="center" wrapText="1"/>
    </xf>
    <xf numFmtId="0" fontId="78" fillId="32" borderId="19" xfId="0" applyFont="1" applyFill="1" applyBorder="1" applyAlignment="1">
      <alignment horizontal="center" vertical="center"/>
    </xf>
    <xf numFmtId="164" fontId="52" fillId="0" borderId="31" xfId="1" applyNumberFormat="1" applyFont="1" applyFill="1" applyBorder="1" applyAlignment="1">
      <alignment vertical="center" wrapText="1"/>
    </xf>
    <xf numFmtId="164" fontId="52" fillId="5" borderId="32" xfId="1" applyNumberFormat="1" applyFont="1" applyFill="1" applyBorder="1" applyAlignment="1">
      <alignment horizontal="center" vertical="center" wrapText="1"/>
    </xf>
    <xf numFmtId="0" fontId="14" fillId="26" borderId="1" xfId="0" applyFont="1" applyFill="1" applyBorder="1" applyAlignment="1">
      <alignment horizontal="right" vertical="center"/>
    </xf>
    <xf numFmtId="0" fontId="14" fillId="22" borderId="1" xfId="0" applyFont="1" applyFill="1" applyBorder="1" applyAlignment="1">
      <alignment horizontal="right" vertical="center"/>
    </xf>
    <xf numFmtId="0" fontId="14" fillId="29" borderId="1" xfId="0" applyFont="1" applyFill="1" applyBorder="1" applyAlignment="1">
      <alignment horizontal="right" vertical="center"/>
    </xf>
    <xf numFmtId="0" fontId="14" fillId="23" borderId="1" xfId="0" applyFont="1" applyFill="1" applyBorder="1" applyAlignment="1">
      <alignment horizontal="right" vertical="center"/>
    </xf>
    <xf numFmtId="0" fontId="14" fillId="41" borderId="1" xfId="0" applyFont="1" applyFill="1" applyBorder="1" applyAlignment="1">
      <alignment horizontal="right" vertical="center" wrapText="1"/>
    </xf>
    <xf numFmtId="0" fontId="52" fillId="0" borderId="42" xfId="0" applyFont="1" applyBorder="1" applyAlignment="1">
      <alignment vertical="center" wrapText="1"/>
    </xf>
    <xf numFmtId="0" fontId="52" fillId="0" borderId="38" xfId="0" applyFont="1" applyBorder="1" applyAlignment="1">
      <alignment horizontal="center" vertical="center" wrapText="1"/>
    </xf>
    <xf numFmtId="0" fontId="14" fillId="0" borderId="30" xfId="0" applyFont="1" applyBorder="1" applyAlignment="1">
      <alignment horizontal="left" vertical="center" wrapText="1"/>
    </xf>
    <xf numFmtId="0" fontId="14" fillId="0" borderId="33" xfId="0" applyFont="1" applyBorder="1" applyAlignment="1">
      <alignment horizontal="left" vertical="center" wrapText="1"/>
    </xf>
    <xf numFmtId="0" fontId="79" fillId="14" borderId="43" xfId="0" applyFont="1" applyFill="1" applyBorder="1" applyAlignment="1">
      <alignment vertical="center" wrapText="1"/>
    </xf>
    <xf numFmtId="0" fontId="14" fillId="0" borderId="30" xfId="0" applyFont="1" applyBorder="1" applyAlignment="1">
      <alignment vertical="center" wrapText="1"/>
    </xf>
    <xf numFmtId="0" fontId="14" fillId="0" borderId="33" xfId="0" applyFont="1" applyBorder="1" applyAlignment="1">
      <alignment vertical="center" wrapText="1"/>
    </xf>
    <xf numFmtId="0" fontId="52" fillId="0" borderId="39" xfId="0" applyFont="1" applyBorder="1" applyAlignment="1">
      <alignment horizontal="center" vertical="center" wrapText="1"/>
    </xf>
    <xf numFmtId="0" fontId="14" fillId="0" borderId="25" xfId="0" applyFont="1" applyBorder="1" applyAlignment="1">
      <alignment vertical="center" wrapText="1"/>
    </xf>
    <xf numFmtId="164" fontId="52" fillId="5" borderId="34" xfId="1" applyNumberFormat="1" applyFont="1" applyFill="1" applyBorder="1" applyAlignment="1">
      <alignment horizontal="center" vertical="center" wrapText="1"/>
    </xf>
    <xf numFmtId="0" fontId="52" fillId="0" borderId="41" xfId="0" applyFont="1" applyBorder="1" applyAlignment="1">
      <alignment horizontal="center" vertical="center" wrapText="1"/>
    </xf>
    <xf numFmtId="0" fontId="52" fillId="0" borderId="33" xfId="0" applyFont="1" applyBorder="1" applyAlignment="1">
      <alignment horizontal="left" vertical="center" wrapText="1"/>
    </xf>
    <xf numFmtId="0" fontId="14" fillId="0" borderId="33" xfId="0" applyFont="1" applyBorder="1" applyAlignment="1">
      <alignment vertical="center"/>
    </xf>
    <xf numFmtId="0" fontId="10" fillId="0" borderId="1" xfId="0" applyFont="1" applyBorder="1" applyAlignment="1">
      <alignment vertical="center" wrapText="1"/>
    </xf>
    <xf numFmtId="0" fontId="14" fillId="0" borderId="30" xfId="0" applyFont="1" applyBorder="1" applyAlignment="1">
      <alignment vertical="center"/>
    </xf>
    <xf numFmtId="0" fontId="80" fillId="0" borderId="0" xfId="0" applyFont="1" applyAlignment="1">
      <alignment vertical="center"/>
    </xf>
    <xf numFmtId="0" fontId="11" fillId="5" borderId="1" xfId="0" applyFont="1" applyFill="1" applyBorder="1" applyAlignment="1">
      <alignment vertical="center" wrapText="1"/>
    </xf>
    <xf numFmtId="0" fontId="12" fillId="0" borderId="1" xfId="0" applyFont="1" applyBorder="1" applyAlignment="1">
      <alignment vertical="center" wrapText="1"/>
    </xf>
    <xf numFmtId="0" fontId="12" fillId="5" borderId="11" xfId="0" applyFont="1" applyFill="1" applyBorder="1" applyAlignment="1">
      <alignment vertical="center" wrapText="1"/>
    </xf>
    <xf numFmtId="0" fontId="12" fillId="5" borderId="12" xfId="0" applyFont="1" applyFill="1" applyBorder="1" applyAlignment="1">
      <alignment vertical="center" wrapText="1"/>
    </xf>
    <xf numFmtId="0" fontId="12" fillId="5" borderId="28" xfId="0" applyFont="1" applyFill="1" applyBorder="1" applyAlignment="1">
      <alignment vertical="center" wrapText="1"/>
    </xf>
    <xf numFmtId="164" fontId="25" fillId="5" borderId="28" xfId="1" applyNumberFormat="1" applyFont="1" applyFill="1" applyBorder="1" applyAlignment="1">
      <alignment vertical="center" wrapText="1"/>
    </xf>
    <xf numFmtId="0" fontId="12" fillId="5" borderId="1" xfId="0" applyFont="1" applyFill="1" applyBorder="1" applyAlignment="1">
      <alignment vertical="center" wrapText="1"/>
    </xf>
    <xf numFmtId="0" fontId="25" fillId="5" borderId="1" xfId="0" applyFont="1" applyFill="1" applyBorder="1" applyAlignment="1">
      <alignment horizontal="left" vertical="center" wrapText="1"/>
    </xf>
    <xf numFmtId="0" fontId="12" fillId="0" borderId="3" xfId="0" applyFont="1" applyBorder="1" applyAlignment="1">
      <alignment vertical="center" wrapText="1"/>
    </xf>
    <xf numFmtId="164" fontId="25" fillId="0" borderId="12" xfId="1" applyNumberFormat="1" applyFont="1" applyFill="1" applyBorder="1" applyAlignment="1">
      <alignment vertical="center" wrapText="1"/>
    </xf>
    <xf numFmtId="164" fontId="25" fillId="0" borderId="11" xfId="1" applyNumberFormat="1" applyFont="1" applyFill="1" applyBorder="1" applyAlignment="1">
      <alignment horizontal="left" vertical="center" wrapText="1"/>
    </xf>
    <xf numFmtId="164" fontId="25" fillId="0" borderId="4" xfId="1" applyNumberFormat="1" applyFont="1" applyFill="1" applyBorder="1" applyAlignment="1">
      <alignment horizontal="left" vertical="center" wrapText="1"/>
    </xf>
    <xf numFmtId="0" fontId="22" fillId="13" borderId="0" xfId="0" applyFont="1" applyFill="1" applyAlignment="1">
      <alignment horizontal="right" vertical="center" wrapText="1"/>
    </xf>
    <xf numFmtId="164" fontId="22" fillId="13" borderId="19" xfId="0" applyNumberFormat="1" applyFont="1" applyFill="1" applyBorder="1" applyAlignment="1">
      <alignment horizontal="right" wrapText="1"/>
    </xf>
    <xf numFmtId="164" fontId="22" fillId="14" borderId="15" xfId="0" applyNumberFormat="1" applyFont="1" applyFill="1" applyBorder="1" applyAlignment="1">
      <alignment vertical="center" wrapText="1"/>
    </xf>
    <xf numFmtId="164" fontId="14" fillId="0" borderId="29" xfId="1" applyNumberFormat="1" applyFont="1" applyFill="1" applyBorder="1" applyAlignment="1">
      <alignment horizontal="center" vertical="center" wrapText="1"/>
    </xf>
    <xf numFmtId="164" fontId="14" fillId="0" borderId="34" xfId="1" applyNumberFormat="1" applyFont="1" applyFill="1" applyBorder="1" applyAlignment="1">
      <alignment horizontal="center" vertical="center" wrapText="1"/>
    </xf>
    <xf numFmtId="0" fontId="10" fillId="0" borderId="0" xfId="0" applyFont="1" applyAlignment="1">
      <alignment vertical="center" wrapText="1"/>
    </xf>
    <xf numFmtId="0" fontId="25" fillId="5" borderId="45" xfId="0" applyFont="1" applyFill="1" applyBorder="1" applyAlignment="1">
      <alignment horizontal="center" vertical="center" wrapText="1"/>
    </xf>
    <xf numFmtId="0" fontId="25" fillId="5" borderId="11" xfId="0" applyFont="1" applyFill="1" applyBorder="1" applyAlignment="1">
      <alignment horizontal="center" vertical="center" wrapText="1"/>
    </xf>
    <xf numFmtId="0" fontId="25" fillId="5" borderId="1" xfId="0" applyFont="1" applyFill="1" applyBorder="1" applyAlignment="1">
      <alignment horizontal="center" vertical="center" wrapText="1"/>
    </xf>
    <xf numFmtId="164" fontId="14" fillId="0" borderId="32" xfId="1" applyNumberFormat="1" applyFont="1" applyFill="1" applyBorder="1" applyAlignment="1">
      <alignment horizontal="center" vertical="center" wrapText="1"/>
    </xf>
    <xf numFmtId="0" fontId="14" fillId="0" borderId="25" xfId="0" applyFont="1" applyBorder="1" applyAlignment="1">
      <alignment horizontal="left" vertical="center" wrapText="1"/>
    </xf>
    <xf numFmtId="0" fontId="22" fillId="14" borderId="18"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xf>
    <xf numFmtId="0" fontId="17" fillId="0" borderId="1" xfId="0" applyFont="1" applyBorder="1" applyAlignment="1">
      <alignment vertical="center" wrapText="1"/>
    </xf>
    <xf numFmtId="0" fontId="88"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horizontal="center" vertical="center"/>
    </xf>
    <xf numFmtId="164" fontId="54" fillId="13" borderId="15" xfId="0" applyNumberFormat="1" applyFont="1" applyFill="1" applyBorder="1" applyAlignment="1">
      <alignment horizontal="right" vertical="center" wrapText="1"/>
    </xf>
    <xf numFmtId="0" fontId="52" fillId="0" borderId="41" xfId="0" applyFont="1" applyBorder="1" applyAlignment="1">
      <alignment horizontal="left" vertical="center" wrapText="1"/>
    </xf>
    <xf numFmtId="0" fontId="52" fillId="0" borderId="30" xfId="0" applyFont="1" applyBorder="1" applyAlignment="1">
      <alignment horizontal="left" vertical="center" wrapText="1"/>
    </xf>
    <xf numFmtId="0" fontId="52" fillId="0" borderId="25" xfId="0" applyFont="1" applyBorder="1" applyAlignment="1">
      <alignment horizontal="left" vertical="center" wrapText="1"/>
    </xf>
    <xf numFmtId="0" fontId="52" fillId="0" borderId="0" xfId="2" applyFont="1" applyAlignment="1">
      <alignment vertical="center" wrapText="1"/>
    </xf>
    <xf numFmtId="0" fontId="68" fillId="0" borderId="0" xfId="0" applyFont="1"/>
    <xf numFmtId="0" fontId="52" fillId="0" borderId="0" xfId="0" applyFont="1" applyAlignment="1">
      <alignment wrapText="1"/>
    </xf>
    <xf numFmtId="0" fontId="5" fillId="0" borderId="0" xfId="0" applyFont="1" applyAlignment="1">
      <alignment wrapText="1"/>
    </xf>
    <xf numFmtId="0" fontId="17" fillId="0" borderId="0" xfId="0" applyFont="1" applyAlignment="1">
      <alignment wrapText="1"/>
    </xf>
    <xf numFmtId="0" fontId="83" fillId="0" borderId="0" xfId="0" applyFont="1" applyAlignment="1">
      <alignment vertical="center"/>
    </xf>
    <xf numFmtId="0" fontId="17" fillId="0" borderId="0" xfId="0" applyFont="1" applyAlignment="1">
      <alignment horizontal="left" vertical="center" wrapText="1"/>
    </xf>
    <xf numFmtId="0" fontId="67" fillId="0" borderId="0" xfId="0" quotePrefix="1" applyFont="1" applyAlignment="1">
      <alignment horizontal="left" vertical="center" wrapText="1"/>
    </xf>
    <xf numFmtId="0" fontId="67" fillId="0" borderId="0" xfId="0" applyFont="1" applyAlignment="1">
      <alignment horizontal="left" vertical="center" wrapText="1"/>
    </xf>
    <xf numFmtId="0" fontId="67" fillId="0" borderId="0" xfId="0" quotePrefix="1" applyFont="1" applyAlignment="1">
      <alignment vertical="center"/>
    </xf>
    <xf numFmtId="0" fontId="77" fillId="14" borderId="13" xfId="0" applyFont="1" applyFill="1" applyBorder="1" applyAlignment="1">
      <alignment horizontal="center" vertical="center" wrapText="1"/>
    </xf>
    <xf numFmtId="164" fontId="54" fillId="14" borderId="15" xfId="0" applyNumberFormat="1" applyFont="1" applyFill="1" applyBorder="1" applyAlignment="1">
      <alignment horizontal="right" vertical="center" wrapText="1"/>
    </xf>
    <xf numFmtId="0" fontId="53" fillId="0" borderId="25" xfId="0" applyFont="1" applyBorder="1" applyAlignment="1">
      <alignment horizontal="center" vertical="center" wrapText="1"/>
    </xf>
    <xf numFmtId="0" fontId="53" fillId="0" borderId="30" xfId="0" applyFont="1" applyBorder="1" applyAlignment="1">
      <alignment horizontal="center" vertical="center" wrapText="1"/>
    </xf>
    <xf numFmtId="0" fontId="14" fillId="0" borderId="30" xfId="0" applyFont="1" applyBorder="1" applyAlignment="1">
      <alignment horizontal="center" vertical="center" wrapText="1"/>
    </xf>
    <xf numFmtId="0" fontId="53" fillId="0" borderId="33" xfId="0" applyFont="1" applyBorder="1" applyAlignment="1">
      <alignment horizontal="center" vertical="center" wrapText="1"/>
    </xf>
    <xf numFmtId="0" fontId="18" fillId="0" borderId="25" xfId="0" applyFont="1" applyBorder="1" applyAlignment="1">
      <alignment vertical="center" wrapText="1"/>
    </xf>
    <xf numFmtId="0" fontId="18" fillId="0" borderId="30" xfId="0" applyFont="1" applyBorder="1" applyAlignment="1">
      <alignment vertical="center" wrapText="1"/>
    </xf>
    <xf numFmtId="0" fontId="18" fillId="0" borderId="33" xfId="0" applyFont="1" applyBorder="1" applyAlignment="1">
      <alignment vertical="center" wrapText="1"/>
    </xf>
    <xf numFmtId="0" fontId="52" fillId="0" borderId="71" xfId="0" applyFont="1" applyBorder="1" applyAlignment="1">
      <alignment vertical="center" wrapText="1"/>
    </xf>
    <xf numFmtId="0" fontId="52" fillId="0" borderId="71" xfId="0" applyFont="1" applyBorder="1" applyAlignment="1">
      <alignment horizontal="left" vertical="center" wrapText="1"/>
    </xf>
    <xf numFmtId="0" fontId="14" fillId="0" borderId="71" xfId="0" applyFont="1" applyBorder="1" applyAlignment="1">
      <alignment vertical="center" wrapText="1"/>
    </xf>
    <xf numFmtId="0" fontId="18" fillId="0" borderId="71" xfId="0" applyFont="1" applyBorder="1" applyAlignment="1">
      <alignment horizontal="center" vertical="center" wrapText="1"/>
    </xf>
    <xf numFmtId="164" fontId="52" fillId="0" borderId="72" xfId="1" applyNumberFormat="1" applyFont="1" applyFill="1" applyBorder="1" applyAlignment="1">
      <alignment horizontal="center" vertical="center" wrapText="1"/>
    </xf>
    <xf numFmtId="164" fontId="54" fillId="4" borderId="15" xfId="0" applyNumberFormat="1" applyFont="1" applyFill="1" applyBorder="1" applyAlignment="1">
      <alignment horizontal="right" vertical="center" wrapText="1"/>
    </xf>
    <xf numFmtId="164" fontId="52" fillId="0" borderId="29" xfId="1" applyNumberFormat="1" applyFont="1" applyBorder="1" applyAlignment="1">
      <alignment horizontal="center" vertical="center"/>
    </xf>
    <xf numFmtId="164" fontId="52" fillId="0" borderId="36" xfId="1" applyNumberFormat="1" applyFont="1" applyFill="1" applyBorder="1" applyAlignment="1">
      <alignment horizontal="center" vertical="center" wrapText="1"/>
    </xf>
    <xf numFmtId="164" fontId="52" fillId="0" borderId="32" xfId="1" applyNumberFormat="1" applyFont="1" applyBorder="1" applyAlignment="1">
      <alignment horizontal="center" vertical="center"/>
    </xf>
    <xf numFmtId="0" fontId="80" fillId="0" borderId="0" xfId="0" applyFont="1" applyAlignment="1">
      <alignment vertical="center" wrapText="1"/>
    </xf>
    <xf numFmtId="164" fontId="52" fillId="0" borderId="32" xfId="1" applyNumberFormat="1" applyFont="1" applyFill="1" applyBorder="1" applyAlignment="1">
      <alignment horizontal="center" vertical="center"/>
    </xf>
    <xf numFmtId="164" fontId="52" fillId="0" borderId="0" xfId="1" applyNumberFormat="1" applyFont="1" applyFill="1" applyBorder="1" applyAlignment="1">
      <alignment horizontal="center" vertical="center" wrapText="1"/>
    </xf>
    <xf numFmtId="164" fontId="52" fillId="0" borderId="34" xfId="1" applyNumberFormat="1" applyFont="1" applyFill="1" applyBorder="1" applyAlignment="1">
      <alignment horizontal="center" vertical="center"/>
    </xf>
    <xf numFmtId="0" fontId="52" fillId="0" borderId="36" xfId="0" applyFont="1" applyBorder="1" applyAlignment="1">
      <alignment vertical="center" wrapText="1"/>
    </xf>
    <xf numFmtId="164" fontId="52" fillId="0" borderId="34" xfId="1" applyNumberFormat="1" applyFont="1" applyBorder="1" applyAlignment="1">
      <alignment horizontal="center" vertical="center"/>
    </xf>
    <xf numFmtId="0" fontId="52" fillId="0" borderId="25" xfId="0" applyFont="1" applyBorder="1" applyAlignment="1">
      <alignment horizontal="left" vertical="center"/>
    </xf>
    <xf numFmtId="0" fontId="52" fillId="0" borderId="30" xfId="0" applyFont="1" applyBorder="1" applyAlignment="1">
      <alignment horizontal="left" vertical="center"/>
    </xf>
    <xf numFmtId="0" fontId="80" fillId="0" borderId="0" xfId="0" applyFont="1" applyAlignment="1">
      <alignment horizontal="left" vertical="center" wrapText="1"/>
    </xf>
    <xf numFmtId="164" fontId="54" fillId="12" borderId="15" xfId="0" applyNumberFormat="1" applyFont="1" applyFill="1" applyBorder="1" applyAlignment="1">
      <alignment horizontal="right" vertical="center" wrapText="1"/>
    </xf>
    <xf numFmtId="164" fontId="52" fillId="0" borderId="73" xfId="1" applyNumberFormat="1" applyFont="1" applyFill="1" applyBorder="1" applyAlignment="1">
      <alignment horizontal="center" vertical="center" wrapText="1"/>
    </xf>
    <xf numFmtId="0" fontId="52" fillId="0" borderId="0" xfId="0" applyFont="1" applyAlignment="1">
      <alignment horizontal="left" vertical="center" wrapText="1"/>
    </xf>
    <xf numFmtId="0" fontId="52" fillId="0" borderId="74" xfId="0" applyFont="1" applyBorder="1" applyAlignment="1">
      <alignment horizontal="left" vertical="center"/>
    </xf>
    <xf numFmtId="0" fontId="52" fillId="0" borderId="75" xfId="0" applyFont="1" applyBorder="1" applyAlignment="1">
      <alignment horizontal="left" vertical="center"/>
    </xf>
    <xf numFmtId="164" fontId="54" fillId="33" borderId="15" xfId="0" applyNumberFormat="1" applyFont="1" applyFill="1" applyBorder="1" applyAlignment="1">
      <alignment horizontal="right" vertical="center" wrapText="1"/>
    </xf>
    <xf numFmtId="0" fontId="73" fillId="0" borderId="0" xfId="0" applyFont="1" applyAlignment="1">
      <alignment horizontal="right" vertical="center"/>
    </xf>
    <xf numFmtId="0" fontId="25" fillId="0" borderId="0" xfId="0" applyFont="1" applyAlignment="1">
      <alignment vertical="center" wrapText="1"/>
    </xf>
    <xf numFmtId="0" fontId="27" fillId="4" borderId="13" xfId="0" applyFont="1" applyFill="1" applyBorder="1" applyAlignment="1">
      <alignment horizontal="center" vertical="center" wrapText="1"/>
    </xf>
    <xf numFmtId="164" fontId="22" fillId="4" borderId="15" xfId="0" applyNumberFormat="1" applyFont="1" applyFill="1" applyBorder="1" applyAlignment="1">
      <alignment horizontal="right" vertical="center" wrapText="1"/>
    </xf>
    <xf numFmtId="0" fontId="25" fillId="0" borderId="25" xfId="0" applyFont="1" applyBorder="1" applyAlignment="1">
      <alignment horizontal="center" vertical="center" wrapText="1"/>
    </xf>
    <xf numFmtId="0" fontId="25" fillId="0" borderId="25" xfId="0" applyFont="1" applyBorder="1" applyAlignment="1">
      <alignment horizontal="left" vertical="center" wrapText="1"/>
    </xf>
    <xf numFmtId="0" fontId="25" fillId="0" borderId="25" xfId="0" applyFont="1" applyBorder="1" applyAlignment="1">
      <alignment vertical="center" wrapText="1"/>
    </xf>
    <xf numFmtId="164" fontId="25" fillId="0" borderId="29" xfId="1" applyNumberFormat="1" applyFont="1" applyBorder="1" applyAlignment="1">
      <alignment horizontal="center" vertical="center"/>
    </xf>
    <xf numFmtId="0" fontId="25" fillId="0" borderId="30" xfId="0" applyFont="1" applyBorder="1" applyAlignment="1">
      <alignment horizontal="center" vertical="center" wrapText="1"/>
    </xf>
    <xf numFmtId="0" fontId="25" fillId="0" borderId="30" xfId="0" applyFont="1" applyBorder="1" applyAlignment="1">
      <alignment horizontal="left" vertical="center" wrapText="1"/>
    </xf>
    <xf numFmtId="0" fontId="25" fillId="0" borderId="30" xfId="0" applyFont="1" applyBorder="1" applyAlignment="1">
      <alignment vertical="center" wrapText="1"/>
    </xf>
    <xf numFmtId="164" fontId="25" fillId="0" borderId="32" xfId="1" applyNumberFormat="1" applyFont="1" applyBorder="1" applyAlignment="1">
      <alignment horizontal="center" vertical="center"/>
    </xf>
    <xf numFmtId="164" fontId="25" fillId="0" borderId="32" xfId="1" applyNumberFormat="1" applyFont="1" applyFill="1" applyBorder="1" applyAlignment="1">
      <alignment horizontal="center" vertical="center"/>
    </xf>
    <xf numFmtId="0" fontId="25" fillId="0" borderId="33" xfId="0" applyFont="1" applyBorder="1" applyAlignment="1">
      <alignment horizontal="center" vertical="center" wrapText="1"/>
    </xf>
    <xf numFmtId="0" fontId="25" fillId="0" borderId="33" xfId="0" applyFont="1" applyBorder="1" applyAlignment="1">
      <alignment horizontal="left" vertical="center" wrapText="1"/>
    </xf>
    <xf numFmtId="0" fontId="25" fillId="0" borderId="33" xfId="0" applyFont="1" applyBorder="1" applyAlignment="1">
      <alignment vertical="center" wrapText="1"/>
    </xf>
    <xf numFmtId="164" fontId="25" fillId="0" borderId="34" xfId="1" applyNumberFormat="1" applyFont="1" applyFill="1" applyBorder="1" applyAlignment="1">
      <alignment horizontal="center" vertical="center"/>
    </xf>
    <xf numFmtId="164" fontId="25" fillId="0" borderId="34" xfId="1" applyNumberFormat="1" applyFont="1" applyBorder="1" applyAlignment="1">
      <alignment horizontal="center" vertical="center"/>
    </xf>
    <xf numFmtId="0" fontId="25" fillId="0" borderId="25" xfId="0" applyFont="1" applyBorder="1" applyAlignment="1">
      <alignment horizontal="left" vertical="center"/>
    </xf>
    <xf numFmtId="0" fontId="25" fillId="0" borderId="30" xfId="0" applyFont="1" applyBorder="1" applyAlignment="1">
      <alignment horizontal="left" vertical="center"/>
    </xf>
    <xf numFmtId="0" fontId="10" fillId="0" borderId="25" xfId="0" applyFont="1" applyBorder="1" applyAlignment="1">
      <alignment vertical="center" wrapText="1"/>
    </xf>
    <xf numFmtId="164" fontId="10" fillId="0" borderId="29" xfId="1" applyNumberFormat="1" applyFont="1" applyFill="1" applyBorder="1" applyAlignment="1">
      <alignment horizontal="center" vertical="center" wrapText="1"/>
    </xf>
    <xf numFmtId="0" fontId="10" fillId="0" borderId="30" xfId="0" applyFont="1" applyBorder="1" applyAlignment="1">
      <alignment vertical="center" wrapText="1"/>
    </xf>
    <xf numFmtId="164" fontId="10" fillId="0" borderId="32" xfId="1" applyNumberFormat="1" applyFont="1" applyFill="1" applyBorder="1" applyAlignment="1">
      <alignment horizontal="center" vertical="center" wrapText="1"/>
    </xf>
    <xf numFmtId="164" fontId="25" fillId="0" borderId="32" xfId="1" applyNumberFormat="1" applyFont="1" applyFill="1" applyBorder="1" applyAlignment="1">
      <alignment horizontal="center" vertical="center" wrapText="1"/>
    </xf>
    <xf numFmtId="0" fontId="25" fillId="0" borderId="41" xfId="0" applyFont="1" applyBorder="1" applyAlignment="1">
      <alignment horizontal="center" vertical="center" wrapText="1"/>
    </xf>
    <xf numFmtId="0" fontId="25" fillId="0" borderId="41" xfId="0" applyFont="1" applyBorder="1" applyAlignment="1">
      <alignment horizontal="left" vertical="center" wrapText="1"/>
    </xf>
    <xf numFmtId="164" fontId="25" fillId="0" borderId="73" xfId="1" applyNumberFormat="1" applyFont="1" applyFill="1" applyBorder="1" applyAlignment="1">
      <alignment horizontal="center" vertical="center" wrapText="1"/>
    </xf>
    <xf numFmtId="164" fontId="25" fillId="0" borderId="29" xfId="1" applyNumberFormat="1" applyFont="1" applyFill="1" applyBorder="1" applyAlignment="1">
      <alignment horizontal="center" vertical="center" wrapText="1"/>
    </xf>
    <xf numFmtId="164" fontId="25" fillId="0" borderId="34" xfId="1" applyNumberFormat="1" applyFont="1" applyFill="1" applyBorder="1" applyAlignment="1">
      <alignment horizontal="center" vertical="center" wrapText="1"/>
    </xf>
    <xf numFmtId="0" fontId="25" fillId="0" borderId="74" xfId="0" applyFont="1" applyBorder="1" applyAlignment="1">
      <alignment horizontal="left" vertical="center"/>
    </xf>
    <xf numFmtId="0" fontId="25" fillId="0" borderId="75" xfId="0" applyFont="1" applyBorder="1" applyAlignment="1">
      <alignment horizontal="left" vertical="center"/>
    </xf>
    <xf numFmtId="0" fontId="25" fillId="0" borderId="35" xfId="0" applyFont="1" applyBorder="1" applyAlignment="1">
      <alignment vertical="center" wrapText="1"/>
    </xf>
    <xf numFmtId="164" fontId="25" fillId="5" borderId="32" xfId="1" applyNumberFormat="1" applyFont="1" applyFill="1" applyBorder="1" applyAlignment="1">
      <alignment horizontal="center" vertical="center" wrapText="1"/>
    </xf>
    <xf numFmtId="0" fontId="25" fillId="0" borderId="0" xfId="0" quotePrefix="1" applyFont="1" applyAlignment="1">
      <alignment vertical="center"/>
    </xf>
    <xf numFmtId="0" fontId="20" fillId="0" borderId="0" xfId="0" applyFont="1" applyAlignment="1">
      <alignment horizontal="right" vertical="center"/>
    </xf>
    <xf numFmtId="0" fontId="14" fillId="0" borderId="25" xfId="0" applyFont="1" applyBorder="1" applyAlignment="1">
      <alignment vertical="top" wrapText="1"/>
    </xf>
    <xf numFmtId="0" fontId="14" fillId="0" borderId="30" xfId="0" applyFont="1" applyBorder="1" applyAlignment="1">
      <alignment vertical="top" wrapText="1"/>
    </xf>
    <xf numFmtId="0" fontId="14" fillId="0" borderId="33" xfId="0" applyFont="1" applyBorder="1" applyAlignment="1">
      <alignment vertical="top" wrapText="1"/>
    </xf>
    <xf numFmtId="0" fontId="25" fillId="0" borderId="1" xfId="0" applyFont="1" applyBorder="1" applyAlignment="1">
      <alignment vertical="center"/>
    </xf>
    <xf numFmtId="0" fontId="27" fillId="12" borderId="1" xfId="0" applyFont="1" applyFill="1" applyBorder="1" applyAlignment="1">
      <alignment horizontal="center" vertical="center" wrapText="1"/>
    </xf>
    <xf numFmtId="164" fontId="22" fillId="12" borderId="1" xfId="0" applyNumberFormat="1" applyFont="1" applyFill="1" applyBorder="1" applyAlignment="1">
      <alignment horizontal="right" vertical="center" wrapText="1"/>
    </xf>
    <xf numFmtId="0" fontId="27" fillId="33" borderId="1" xfId="0" applyFont="1" applyFill="1" applyBorder="1" applyAlignment="1">
      <alignment horizontal="center" vertical="center" wrapText="1"/>
    </xf>
    <xf numFmtId="164" fontId="22" fillId="33" borderId="1" xfId="0" applyNumberFormat="1" applyFont="1" applyFill="1" applyBorder="1" applyAlignment="1">
      <alignment horizontal="right" vertical="center" wrapText="1"/>
    </xf>
    <xf numFmtId="0" fontId="92" fillId="57" borderId="1" xfId="0" applyFont="1" applyFill="1" applyBorder="1" applyAlignment="1">
      <alignment horizontal="center" vertical="center" wrapText="1"/>
    </xf>
    <xf numFmtId="0" fontId="92" fillId="57" borderId="1" xfId="0" applyFont="1" applyFill="1" applyBorder="1" applyAlignment="1">
      <alignment horizontal="center" vertical="center"/>
    </xf>
    <xf numFmtId="0" fontId="6" fillId="5" borderId="1" xfId="0" applyFont="1" applyFill="1" applyBorder="1" applyAlignment="1">
      <alignment horizontal="center" vertical="center"/>
    </xf>
    <xf numFmtId="0" fontId="89" fillId="0" borderId="0" xfId="0" applyFont="1" applyAlignment="1">
      <alignment vertical="center"/>
    </xf>
    <xf numFmtId="0" fontId="25" fillId="5" borderId="42" xfId="0" applyFont="1" applyFill="1" applyBorder="1" applyAlignment="1">
      <alignment vertical="center" wrapText="1"/>
    </xf>
    <xf numFmtId="0" fontId="11" fillId="58" borderId="76" xfId="0" applyFont="1" applyFill="1" applyBorder="1" applyAlignment="1">
      <alignment horizontal="center" vertical="top" wrapText="1"/>
    </xf>
    <xf numFmtId="0" fontId="10" fillId="0" borderId="76" xfId="0" applyFont="1" applyBorder="1" applyAlignment="1">
      <alignment horizontal="left" vertical="center" wrapText="1" indent="1"/>
    </xf>
    <xf numFmtId="0" fontId="10" fillId="0" borderId="76" xfId="0" applyFont="1" applyBorder="1" applyAlignment="1">
      <alignment horizontal="left" vertical="center" wrapText="1" indent="2"/>
    </xf>
    <xf numFmtId="0" fontId="10" fillId="0" borderId="76" xfId="0" applyFont="1" applyBorder="1" applyAlignment="1">
      <alignment horizontal="left" vertical="center" wrapText="1" indent="3"/>
    </xf>
    <xf numFmtId="0" fontId="38" fillId="0" borderId="76" xfId="0" applyFont="1" applyBorder="1" applyAlignment="1">
      <alignment horizontal="left" vertical="top" wrapText="1"/>
    </xf>
    <xf numFmtId="0" fontId="10" fillId="0" borderId="76" xfId="0" applyFont="1" applyBorder="1" applyAlignment="1">
      <alignment horizontal="left" vertical="center" wrapText="1"/>
    </xf>
    <xf numFmtId="0" fontId="10" fillId="0" borderId="77" xfId="0" applyFont="1" applyBorder="1" applyAlignment="1">
      <alignment horizontal="left" vertical="center" wrapText="1"/>
    </xf>
    <xf numFmtId="0" fontId="67" fillId="0" borderId="1" xfId="0" applyFont="1" applyBorder="1" applyAlignment="1">
      <alignment vertical="center"/>
    </xf>
    <xf numFmtId="164" fontId="25" fillId="0" borderId="29" xfId="1" applyNumberFormat="1" applyFont="1" applyBorder="1" applyAlignment="1">
      <alignment horizontal="center" vertical="center" wrapText="1"/>
    </xf>
    <xf numFmtId="0" fontId="25" fillId="0" borderId="35" xfId="0" applyFont="1" applyBorder="1" applyAlignment="1">
      <alignment horizontal="center" vertical="center" wrapText="1"/>
    </xf>
    <xf numFmtId="0" fontId="25" fillId="0" borderId="35" xfId="0" applyFont="1" applyBorder="1" applyAlignment="1">
      <alignment horizontal="left" vertical="center" wrapText="1"/>
    </xf>
    <xf numFmtId="0" fontId="25" fillId="0" borderId="76" xfId="0" applyFont="1" applyBorder="1" applyAlignment="1">
      <alignment horizontal="left" vertical="top" wrapText="1"/>
    </xf>
    <xf numFmtId="164" fontId="25" fillId="0" borderId="31" xfId="1" applyNumberFormat="1" applyFont="1" applyBorder="1" applyAlignment="1">
      <alignment horizontal="center" vertical="center" wrapText="1"/>
    </xf>
    <xf numFmtId="0" fontId="10" fillId="0" borderId="76" xfId="0" applyFont="1" applyBorder="1" applyAlignment="1">
      <alignment horizontal="left" vertical="top" wrapText="1"/>
    </xf>
    <xf numFmtId="0" fontId="38" fillId="59" borderId="76" xfId="0" applyFont="1" applyFill="1" applyBorder="1" applyAlignment="1">
      <alignment horizontal="left" vertical="top" wrapText="1"/>
    </xf>
    <xf numFmtId="0" fontId="11" fillId="30" borderId="76" xfId="0" applyFont="1" applyFill="1" applyBorder="1" applyAlignment="1">
      <alignment horizontal="center" vertical="top" wrapText="1"/>
    </xf>
    <xf numFmtId="0" fontId="34" fillId="43" borderId="1" xfId="0" applyFont="1" applyFill="1" applyBorder="1" applyAlignment="1">
      <alignment vertical="center"/>
    </xf>
    <xf numFmtId="0" fontId="11" fillId="43" borderId="76" xfId="0" applyFont="1" applyFill="1" applyBorder="1" applyAlignment="1">
      <alignment horizontal="center" vertical="top" wrapText="1"/>
    </xf>
    <xf numFmtId="0" fontId="11" fillId="60" borderId="76" xfId="0" applyFont="1" applyFill="1" applyBorder="1" applyAlignment="1">
      <alignment horizontal="center" vertical="top" wrapText="1"/>
    </xf>
    <xf numFmtId="0" fontId="20" fillId="60" borderId="76" xfId="0" applyFont="1" applyFill="1" applyBorder="1" applyAlignment="1">
      <alignment horizontal="center" vertical="top" wrapText="1"/>
    </xf>
    <xf numFmtId="0" fontId="25" fillId="5" borderId="80" xfId="0" applyFont="1" applyFill="1" applyBorder="1" applyAlignment="1">
      <alignment horizontal="left" vertical="center" wrapText="1"/>
    </xf>
    <xf numFmtId="0" fontId="25" fillId="5" borderId="4" xfId="0" applyFont="1" applyFill="1" applyBorder="1" applyAlignment="1">
      <alignment horizontal="left" vertical="center" wrapText="1"/>
    </xf>
    <xf numFmtId="0" fontId="25" fillId="5" borderId="1" xfId="0" applyFont="1" applyFill="1" applyBorder="1" applyAlignment="1">
      <alignment horizontal="left" vertical="top" wrapText="1"/>
    </xf>
    <xf numFmtId="0" fontId="10" fillId="5" borderId="1" xfId="0" applyFont="1" applyFill="1" applyBorder="1" applyAlignment="1">
      <alignment horizontal="left" vertical="center" wrapText="1"/>
    </xf>
    <xf numFmtId="0" fontId="25" fillId="5" borderId="1" xfId="0" applyFont="1" applyFill="1" applyBorder="1" applyAlignment="1">
      <alignment vertical="center" wrapText="1"/>
    </xf>
    <xf numFmtId="0" fontId="6" fillId="0" borderId="2" xfId="0" applyFont="1" applyBorder="1" applyAlignment="1">
      <alignment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48" fillId="0" borderId="0" xfId="0" applyFont="1" applyAlignment="1">
      <alignment horizontal="left" vertical="center"/>
    </xf>
    <xf numFmtId="0" fontId="76" fillId="0" borderId="0" xfId="0" applyFont="1" applyAlignment="1">
      <alignment horizontal="center" vertical="center" wrapText="1"/>
    </xf>
    <xf numFmtId="0" fontId="76" fillId="0" borderId="0" xfId="0" applyFont="1" applyAlignment="1">
      <alignment horizontal="center" vertical="center"/>
    </xf>
    <xf numFmtId="0" fontId="6" fillId="0" borderId="9" xfId="0" applyFont="1" applyBorder="1" applyAlignment="1">
      <alignment vertical="center" wrapText="1"/>
    </xf>
    <xf numFmtId="0" fontId="6" fillId="0" borderId="18" xfId="0" applyFont="1" applyBorder="1" applyAlignment="1">
      <alignment vertical="center" wrapText="1"/>
    </xf>
    <xf numFmtId="0" fontId="6" fillId="0" borderId="13" xfId="0" applyFont="1" applyBorder="1" applyAlignment="1">
      <alignment vertical="center" wrapText="1"/>
    </xf>
    <xf numFmtId="0" fontId="6" fillId="0" borderId="26" xfId="0" applyFont="1" applyBorder="1" applyAlignment="1">
      <alignment vertical="center" wrapText="1"/>
    </xf>
    <xf numFmtId="0" fontId="6" fillId="0" borderId="19" xfId="0" applyFont="1" applyBorder="1" applyAlignment="1">
      <alignment vertical="center" wrapText="1"/>
    </xf>
    <xf numFmtId="0" fontId="6" fillId="0" borderId="15" xfId="0" applyFont="1" applyBorder="1" applyAlignment="1">
      <alignment vertical="center" wrapText="1"/>
    </xf>
    <xf numFmtId="0" fontId="6" fillId="5" borderId="1" xfId="0" applyFont="1" applyFill="1" applyBorder="1" applyAlignment="1">
      <alignment horizontal="center" vertical="center" wrapText="1"/>
    </xf>
    <xf numFmtId="0" fontId="48" fillId="43" borderId="1" xfId="0" applyFont="1" applyFill="1" applyBorder="1" applyAlignment="1">
      <alignment horizontal="center" vertical="center" wrapText="1"/>
    </xf>
    <xf numFmtId="0" fontId="83" fillId="9" borderId="1" xfId="0" applyFont="1" applyFill="1" applyBorder="1" applyAlignment="1">
      <alignment horizontal="center" vertical="center" wrapText="1"/>
    </xf>
    <xf numFmtId="0" fontId="83" fillId="7" borderId="1" xfId="0" applyFont="1" applyFill="1" applyBorder="1" applyAlignment="1">
      <alignment horizontal="center" vertical="center" wrapText="1"/>
    </xf>
    <xf numFmtId="0" fontId="67" fillId="0" borderId="1" xfId="0" applyFont="1" applyBorder="1" applyAlignment="1">
      <alignment horizontal="center" vertical="center" wrapText="1"/>
    </xf>
    <xf numFmtId="0" fontId="52" fillId="0" borderId="40" xfId="2" applyFont="1" applyBorder="1" applyAlignment="1">
      <alignment horizontal="left" vertical="center" wrapText="1"/>
    </xf>
    <xf numFmtId="0" fontId="52" fillId="0" borderId="42" xfId="2" applyFont="1" applyBorder="1" applyAlignment="1">
      <alignment horizontal="left" vertical="center" wrapText="1"/>
    </xf>
    <xf numFmtId="164" fontId="81" fillId="0" borderId="40" xfId="1" applyNumberFormat="1" applyFont="1" applyFill="1" applyBorder="1" applyAlignment="1">
      <alignment horizontal="center" vertical="center" wrapText="1"/>
    </xf>
    <xf numFmtId="164" fontId="81" fillId="0" borderId="42" xfId="1" applyNumberFormat="1" applyFont="1" applyFill="1" applyBorder="1" applyAlignment="1">
      <alignment horizontal="center" vertical="center" wrapText="1"/>
    </xf>
    <xf numFmtId="0" fontId="20" fillId="51" borderId="9" xfId="0" applyFont="1" applyFill="1" applyBorder="1" applyAlignment="1">
      <alignment horizontal="left" vertical="center"/>
    </xf>
    <xf numFmtId="0" fontId="20" fillId="51" borderId="26" xfId="0" applyFont="1" applyFill="1" applyBorder="1" applyAlignment="1">
      <alignment horizontal="left" vertical="center"/>
    </xf>
    <xf numFmtId="0" fontId="22" fillId="13" borderId="9" xfId="0" applyFont="1" applyFill="1" applyBorder="1" applyAlignment="1">
      <alignment horizontal="left" vertical="center" wrapText="1"/>
    </xf>
    <xf numFmtId="0" fontId="22" fillId="13" borderId="18" xfId="0" applyFont="1" applyFill="1" applyBorder="1" applyAlignment="1">
      <alignment horizontal="left" vertical="center" wrapText="1"/>
    </xf>
    <xf numFmtId="0" fontId="22" fillId="13" borderId="26" xfId="0" applyFont="1" applyFill="1" applyBorder="1" applyAlignment="1">
      <alignment horizontal="left" vertical="center" wrapText="1"/>
    </xf>
    <xf numFmtId="0" fontId="22" fillId="13" borderId="19" xfId="0" applyFont="1" applyFill="1" applyBorder="1" applyAlignment="1">
      <alignment horizontal="left" vertical="center" wrapText="1"/>
    </xf>
    <xf numFmtId="0" fontId="79" fillId="13" borderId="1" xfId="0" applyFont="1" applyFill="1" applyBorder="1" applyAlignment="1">
      <alignment horizontal="left" vertical="center" wrapText="1"/>
    </xf>
    <xf numFmtId="0" fontId="52" fillId="0" borderId="68" xfId="0" applyFont="1" applyBorder="1" applyAlignment="1">
      <alignment horizontal="center" vertical="center" wrapText="1"/>
    </xf>
    <xf numFmtId="0" fontId="52" fillId="0" borderId="69" xfId="0" applyFont="1" applyBorder="1" applyAlignment="1">
      <alignment horizontal="center" vertical="center" wrapText="1"/>
    </xf>
    <xf numFmtId="0" fontId="52" fillId="0" borderId="40" xfId="0" applyFont="1" applyBorder="1" applyAlignment="1">
      <alignment horizontal="left" vertical="center" wrapText="1"/>
    </xf>
    <xf numFmtId="0" fontId="52" fillId="0" borderId="41" xfId="0" applyFont="1" applyBorder="1" applyAlignment="1">
      <alignment horizontal="left" vertical="center" wrapText="1"/>
    </xf>
    <xf numFmtId="164" fontId="81" fillId="0" borderId="35" xfId="1" applyNumberFormat="1" applyFont="1" applyFill="1" applyBorder="1" applyAlignment="1">
      <alignment horizontal="center" vertical="center" wrapText="1"/>
    </xf>
    <xf numFmtId="0" fontId="52" fillId="0" borderId="37" xfId="0" applyFont="1" applyBorder="1" applyAlignment="1">
      <alignment horizontal="center" vertical="center" wrapText="1"/>
    </xf>
    <xf numFmtId="0" fontId="52" fillId="0" borderId="39" xfId="0" applyFont="1" applyBorder="1" applyAlignment="1">
      <alignment horizontal="center" vertical="center" wrapText="1"/>
    </xf>
    <xf numFmtId="0" fontId="52" fillId="0" borderId="30" xfId="0" applyFont="1" applyBorder="1" applyAlignment="1">
      <alignment horizontal="left" vertical="center" wrapText="1"/>
    </xf>
    <xf numFmtId="0" fontId="52" fillId="0" borderId="33" xfId="0" applyFont="1" applyBorder="1" applyAlignment="1">
      <alignment horizontal="left" vertical="center" wrapText="1"/>
    </xf>
    <xf numFmtId="164" fontId="81" fillId="0" borderId="30" xfId="1" applyNumberFormat="1" applyFont="1" applyFill="1" applyBorder="1" applyAlignment="1">
      <alignment horizontal="center" vertical="center" wrapText="1"/>
    </xf>
    <xf numFmtId="164" fontId="81" fillId="0" borderId="33" xfId="1" applyNumberFormat="1" applyFont="1" applyFill="1" applyBorder="1" applyAlignment="1">
      <alignment horizontal="center" vertical="center" wrapText="1"/>
    </xf>
    <xf numFmtId="0" fontId="79" fillId="13" borderId="1" xfId="0" applyFont="1" applyFill="1" applyBorder="1" applyAlignment="1">
      <alignment horizontal="left" vertical="center"/>
    </xf>
    <xf numFmtId="0" fontId="52" fillId="0" borderId="70" xfId="0" applyFont="1" applyBorder="1" applyAlignment="1">
      <alignment horizontal="center" vertical="center" wrapText="1"/>
    </xf>
    <xf numFmtId="0" fontId="52" fillId="0" borderId="42" xfId="0" applyFont="1" applyBorder="1" applyAlignment="1">
      <alignment horizontal="left" vertical="center" wrapText="1"/>
    </xf>
    <xf numFmtId="164" fontId="81" fillId="0" borderId="25" xfId="1" applyNumberFormat="1" applyFont="1" applyFill="1" applyBorder="1" applyAlignment="1">
      <alignment horizontal="center" vertical="center" wrapText="1"/>
    </xf>
    <xf numFmtId="0" fontId="5" fillId="0" borderId="25"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3" xfId="0" applyFont="1" applyBorder="1" applyAlignment="1">
      <alignment horizontal="center" vertical="center" wrapText="1"/>
    </xf>
    <xf numFmtId="0" fontId="79" fillId="13" borderId="1" xfId="2" applyFont="1" applyFill="1" applyBorder="1" applyAlignment="1">
      <alignment horizontal="left" vertical="center" wrapText="1"/>
    </xf>
    <xf numFmtId="0" fontId="52" fillId="0" borderId="68" xfId="2" applyFont="1" applyBorder="1" applyAlignment="1">
      <alignment horizontal="center" vertical="center" wrapText="1"/>
    </xf>
    <xf numFmtId="0" fontId="52" fillId="0" borderId="70" xfId="2" applyFont="1" applyBorder="1" applyAlignment="1">
      <alignment horizontal="center" vertical="center" wrapText="1"/>
    </xf>
    <xf numFmtId="0" fontId="79" fillId="14" borderId="46" xfId="0" applyFont="1" applyFill="1" applyBorder="1" applyAlignment="1">
      <alignment horizontal="left" vertical="center" wrapText="1"/>
    </xf>
    <xf numFmtId="0" fontId="79" fillId="14" borderId="47" xfId="0" applyFont="1" applyFill="1" applyBorder="1" applyAlignment="1">
      <alignment horizontal="left" vertical="center" wrapText="1"/>
    </xf>
    <xf numFmtId="0" fontId="79" fillId="14" borderId="48" xfId="0" applyFont="1" applyFill="1" applyBorder="1" applyAlignment="1">
      <alignment horizontal="left" vertical="center" wrapText="1"/>
    </xf>
    <xf numFmtId="0" fontId="20" fillId="52" borderId="3" xfId="0" applyFont="1" applyFill="1" applyBorder="1" applyAlignment="1">
      <alignment vertical="center"/>
    </xf>
    <xf numFmtId="0" fontId="20" fillId="52" borderId="7" xfId="0" applyFont="1" applyFill="1" applyBorder="1" applyAlignment="1">
      <alignment vertical="center"/>
    </xf>
    <xf numFmtId="0" fontId="22" fillId="14" borderId="9" xfId="0" applyFont="1" applyFill="1" applyBorder="1" applyAlignment="1">
      <alignment horizontal="left" vertical="center" wrapText="1"/>
    </xf>
    <xf numFmtId="0" fontId="22" fillId="14" borderId="18" xfId="0" applyFont="1" applyFill="1" applyBorder="1" applyAlignment="1">
      <alignment horizontal="left" vertical="center" wrapText="1"/>
    </xf>
    <xf numFmtId="0" fontId="22" fillId="14" borderId="26" xfId="0" applyFont="1" applyFill="1" applyBorder="1" applyAlignment="1">
      <alignment horizontal="left" vertical="center" wrapText="1"/>
    </xf>
    <xf numFmtId="0" fontId="22" fillId="14" borderId="19" xfId="0" applyFont="1" applyFill="1" applyBorder="1" applyAlignment="1">
      <alignment horizontal="left" vertical="center" wrapText="1"/>
    </xf>
    <xf numFmtId="0" fontId="79" fillId="14" borderId="46" xfId="0" applyFont="1" applyFill="1" applyBorder="1" applyAlignment="1">
      <alignment vertical="center" wrapText="1"/>
    </xf>
    <xf numFmtId="0" fontId="79" fillId="14" borderId="47" xfId="0" applyFont="1" applyFill="1" applyBorder="1" applyAlignment="1">
      <alignment vertical="center" wrapText="1"/>
    </xf>
    <xf numFmtId="0" fontId="79" fillId="14" borderId="48" xfId="0" applyFont="1" applyFill="1" applyBorder="1" applyAlignment="1">
      <alignment vertical="center" wrapText="1"/>
    </xf>
    <xf numFmtId="0" fontId="79" fillId="14" borderId="49" xfId="0" applyFont="1" applyFill="1" applyBorder="1" applyAlignment="1">
      <alignment horizontal="left" vertical="center" wrapText="1"/>
    </xf>
    <xf numFmtId="0" fontId="79" fillId="14" borderId="50" xfId="0" applyFont="1" applyFill="1" applyBorder="1" applyAlignment="1">
      <alignment horizontal="left" vertical="center" wrapText="1"/>
    </xf>
    <xf numFmtId="0" fontId="79" fillId="14" borderId="51" xfId="0" applyFont="1" applyFill="1" applyBorder="1" applyAlignment="1">
      <alignment horizontal="left" vertical="center" wrapText="1"/>
    </xf>
    <xf numFmtId="0" fontId="52" fillId="0" borderId="25" xfId="0" applyFont="1" applyBorder="1" applyAlignment="1">
      <alignment horizontal="center" vertical="center" wrapText="1"/>
    </xf>
    <xf numFmtId="0" fontId="52" fillId="0" borderId="30" xfId="0" applyFont="1" applyBorder="1" applyAlignment="1">
      <alignment horizontal="center" vertical="center" wrapText="1"/>
    </xf>
    <xf numFmtId="0" fontId="52" fillId="0" borderId="33" xfId="0" applyFont="1" applyBorder="1" applyAlignment="1">
      <alignment horizontal="center" vertical="center" wrapText="1"/>
    </xf>
    <xf numFmtId="0" fontId="52" fillId="0" borderId="25" xfId="0" applyFont="1" applyBorder="1" applyAlignment="1">
      <alignment horizontal="left" vertical="center" wrapText="1"/>
    </xf>
    <xf numFmtId="0" fontId="20" fillId="53" borderId="3" xfId="0" applyFont="1" applyFill="1" applyBorder="1" applyAlignment="1">
      <alignment vertical="center"/>
    </xf>
    <xf numFmtId="0" fontId="20" fillId="53" borderId="7" xfId="0" applyFont="1" applyFill="1" applyBorder="1" applyAlignment="1">
      <alignment vertical="center"/>
    </xf>
    <xf numFmtId="0" fontId="22" fillId="4" borderId="9" xfId="0" applyFont="1" applyFill="1" applyBorder="1" applyAlignment="1">
      <alignment horizontal="left" vertical="center" wrapText="1"/>
    </xf>
    <xf numFmtId="0" fontId="22" fillId="4" borderId="18" xfId="0" applyFont="1" applyFill="1" applyBorder="1" applyAlignment="1">
      <alignment horizontal="left" vertical="center" wrapText="1"/>
    </xf>
    <xf numFmtId="0" fontId="22" fillId="4" borderId="26" xfId="0" applyFont="1" applyFill="1" applyBorder="1" applyAlignment="1">
      <alignment horizontal="left" vertical="center" wrapText="1"/>
    </xf>
    <xf numFmtId="0" fontId="22" fillId="4" borderId="19" xfId="0" applyFont="1" applyFill="1" applyBorder="1" applyAlignment="1">
      <alignment horizontal="left" vertical="center" wrapText="1"/>
    </xf>
    <xf numFmtId="0" fontId="79" fillId="4" borderId="46" xfId="0" applyFont="1" applyFill="1" applyBorder="1" applyAlignment="1">
      <alignment horizontal="left" vertical="center" wrapText="1"/>
    </xf>
    <xf numFmtId="0" fontId="79" fillId="4" borderId="47" xfId="0" applyFont="1" applyFill="1" applyBorder="1" applyAlignment="1">
      <alignment horizontal="left" vertical="center" wrapText="1"/>
    </xf>
    <xf numFmtId="0" fontId="79" fillId="4" borderId="48" xfId="0" applyFont="1" applyFill="1" applyBorder="1" applyAlignment="1">
      <alignment horizontal="left" vertical="center" wrapText="1"/>
    </xf>
    <xf numFmtId="0" fontId="79" fillId="33" borderId="46" xfId="0" applyFont="1" applyFill="1" applyBorder="1" applyAlignment="1">
      <alignment vertical="center" wrapText="1"/>
    </xf>
    <xf numFmtId="0" fontId="79" fillId="33" borderId="47" xfId="0" applyFont="1" applyFill="1" applyBorder="1" applyAlignment="1">
      <alignment vertical="center"/>
    </xf>
    <xf numFmtId="0" fontId="79" fillId="33" borderId="48" xfId="0" applyFont="1" applyFill="1" applyBorder="1" applyAlignment="1">
      <alignment vertical="center"/>
    </xf>
    <xf numFmtId="0" fontId="81" fillId="0" borderId="30" xfId="0" applyFont="1" applyBorder="1" applyAlignment="1">
      <alignment horizontal="center" vertical="center" wrapText="1"/>
    </xf>
    <xf numFmtId="0" fontId="81" fillId="0" borderId="33" xfId="0" applyFont="1" applyBorder="1" applyAlignment="1">
      <alignment horizontal="center" vertical="center" wrapText="1"/>
    </xf>
    <xf numFmtId="0" fontId="20" fillId="54" borderId="3" xfId="0" applyFont="1" applyFill="1" applyBorder="1" applyAlignment="1">
      <alignment vertical="center"/>
    </xf>
    <xf numFmtId="0" fontId="20" fillId="54" borderId="7" xfId="0" applyFont="1" applyFill="1" applyBorder="1" applyAlignment="1">
      <alignment vertical="center"/>
    </xf>
    <xf numFmtId="0" fontId="22" fillId="12" borderId="9" xfId="0" applyFont="1" applyFill="1" applyBorder="1" applyAlignment="1">
      <alignment horizontal="left" vertical="center"/>
    </xf>
    <xf numFmtId="0" fontId="22" fillId="12" borderId="18" xfId="0" applyFont="1" applyFill="1" applyBorder="1" applyAlignment="1">
      <alignment horizontal="left" vertical="center"/>
    </xf>
    <xf numFmtId="0" fontId="22" fillId="12" borderId="26" xfId="0" applyFont="1" applyFill="1" applyBorder="1" applyAlignment="1">
      <alignment horizontal="left" vertical="center"/>
    </xf>
    <xf numFmtId="0" fontId="22" fillId="12" borderId="19" xfId="0" applyFont="1" applyFill="1" applyBorder="1" applyAlignment="1">
      <alignment horizontal="left" vertical="center"/>
    </xf>
    <xf numFmtId="0" fontId="79" fillId="12" borderId="49" xfId="0" applyFont="1" applyFill="1" applyBorder="1" applyAlignment="1">
      <alignment horizontal="left" vertical="center" wrapText="1"/>
    </xf>
    <xf numFmtId="0" fontId="79" fillId="12" borderId="50" xfId="0" applyFont="1" applyFill="1" applyBorder="1" applyAlignment="1">
      <alignment horizontal="left" vertical="center" wrapText="1"/>
    </xf>
    <xf numFmtId="0" fontId="79" fillId="12" borderId="51" xfId="0" applyFont="1" applyFill="1" applyBorder="1" applyAlignment="1">
      <alignment horizontal="left" vertical="center" wrapText="1"/>
    </xf>
    <xf numFmtId="0" fontId="79" fillId="12" borderId="46" xfId="0" applyFont="1" applyFill="1" applyBorder="1" applyAlignment="1">
      <alignment horizontal="left" vertical="center" wrapText="1"/>
    </xf>
    <xf numFmtId="0" fontId="79" fillId="12" borderId="47" xfId="0" applyFont="1" applyFill="1" applyBorder="1" applyAlignment="1">
      <alignment horizontal="left" vertical="center"/>
    </xf>
    <xf numFmtId="0" fontId="79" fillId="12" borderId="48" xfId="0" applyFont="1" applyFill="1" applyBorder="1" applyAlignment="1">
      <alignment horizontal="left" vertical="center"/>
    </xf>
    <xf numFmtId="0" fontId="79" fillId="12" borderId="47" xfId="0" applyFont="1" applyFill="1" applyBorder="1" applyAlignment="1">
      <alignment horizontal="left" vertical="center" wrapText="1"/>
    </xf>
    <xf numFmtId="0" fontId="79" fillId="12" borderId="48" xfId="0" applyFont="1" applyFill="1" applyBorder="1" applyAlignment="1">
      <alignment horizontal="left" vertical="center" wrapText="1"/>
    </xf>
    <xf numFmtId="0" fontId="65" fillId="55" borderId="3" xfId="0" applyFont="1" applyFill="1" applyBorder="1" applyAlignment="1">
      <alignment vertical="center"/>
    </xf>
    <xf numFmtId="0" fontId="65" fillId="55" borderId="7" xfId="0" applyFont="1" applyFill="1" applyBorder="1" applyAlignment="1">
      <alignment vertical="center"/>
    </xf>
    <xf numFmtId="0" fontId="22" fillId="32" borderId="9" xfId="0" applyFont="1" applyFill="1" applyBorder="1" applyAlignment="1">
      <alignment horizontal="left" vertical="center" wrapText="1"/>
    </xf>
    <xf numFmtId="0" fontId="22" fillId="32" borderId="18" xfId="0" applyFont="1" applyFill="1" applyBorder="1" applyAlignment="1">
      <alignment horizontal="left" vertical="center" wrapText="1"/>
    </xf>
    <xf numFmtId="0" fontId="22" fillId="32" borderId="26" xfId="0" applyFont="1" applyFill="1" applyBorder="1" applyAlignment="1">
      <alignment horizontal="left" vertical="center" wrapText="1"/>
    </xf>
    <xf numFmtId="0" fontId="22" fillId="32" borderId="19" xfId="0" applyFont="1" applyFill="1" applyBorder="1" applyAlignment="1">
      <alignment horizontal="left" vertical="center" wrapText="1"/>
    </xf>
    <xf numFmtId="0" fontId="79" fillId="33" borderId="46" xfId="0" applyFont="1" applyFill="1" applyBorder="1" applyAlignment="1">
      <alignment horizontal="left" vertical="center" wrapText="1"/>
    </xf>
    <xf numFmtId="0" fontId="79" fillId="33" borderId="47" xfId="0" applyFont="1" applyFill="1" applyBorder="1" applyAlignment="1">
      <alignment horizontal="left" vertical="center"/>
    </xf>
    <xf numFmtId="0" fontId="79" fillId="33" borderId="48" xfId="0" applyFont="1" applyFill="1" applyBorder="1" applyAlignment="1">
      <alignment horizontal="left" vertical="center"/>
    </xf>
    <xf numFmtId="0" fontId="67" fillId="0" borderId="0" xfId="0" applyFont="1" applyAlignment="1">
      <alignment horizontal="left" wrapText="1"/>
    </xf>
    <xf numFmtId="0" fontId="68" fillId="0" borderId="0" xfId="0" applyFont="1" applyAlignment="1">
      <alignment horizontal="left"/>
    </xf>
    <xf numFmtId="0" fontId="79" fillId="33" borderId="47" xfId="0" applyFont="1" applyFill="1" applyBorder="1" applyAlignment="1">
      <alignment horizontal="left" vertical="center" wrapText="1"/>
    </xf>
    <xf numFmtId="0" fontId="79" fillId="33" borderId="48" xfId="0" applyFont="1" applyFill="1" applyBorder="1" applyAlignment="1">
      <alignment horizontal="left" vertical="center" wrapText="1"/>
    </xf>
    <xf numFmtId="0" fontId="90" fillId="56" borderId="25" xfId="0" applyFont="1" applyFill="1" applyBorder="1" applyAlignment="1">
      <alignment horizontal="center" vertical="center" wrapText="1"/>
    </xf>
    <xf numFmtId="0" fontId="90" fillId="56" borderId="30" xfId="0" applyFont="1" applyFill="1" applyBorder="1" applyAlignment="1">
      <alignment horizontal="center" vertical="center" wrapText="1"/>
    </xf>
    <xf numFmtId="0" fontId="82" fillId="56" borderId="30" xfId="0" applyFont="1" applyFill="1" applyBorder="1" applyAlignment="1">
      <alignment horizontal="center" vertical="center" wrapText="1"/>
    </xf>
    <xf numFmtId="0" fontId="82" fillId="56" borderId="33" xfId="0" applyFont="1" applyFill="1" applyBorder="1" applyAlignment="1">
      <alignment horizontal="center" vertical="center" wrapText="1"/>
    </xf>
    <xf numFmtId="0" fontId="88" fillId="0" borderId="0" xfId="0" applyFont="1" applyAlignment="1">
      <alignment horizontal="left" vertical="center" wrapText="1"/>
    </xf>
    <xf numFmtId="0" fontId="88" fillId="0" borderId="0" xfId="0" applyFont="1" applyAlignment="1">
      <alignment horizontal="left" vertical="center"/>
    </xf>
    <xf numFmtId="0" fontId="89" fillId="0" borderId="0" xfId="0" applyFont="1" applyAlignment="1">
      <alignment horizontal="left" vertical="center" wrapText="1"/>
    </xf>
    <xf numFmtId="0" fontId="89" fillId="0" borderId="0" xfId="0" applyFont="1" applyAlignment="1">
      <alignment horizontal="left" vertical="center"/>
    </xf>
    <xf numFmtId="0" fontId="6" fillId="0" borderId="0" xfId="0" applyFont="1" applyAlignment="1">
      <alignment horizontal="left" vertical="center" wrapText="1"/>
    </xf>
    <xf numFmtId="0" fontId="8" fillId="0" borderId="9" xfId="0" applyFont="1" applyBorder="1" applyAlignment="1">
      <alignment horizontal="left" vertical="center" wrapText="1"/>
    </xf>
    <xf numFmtId="0" fontId="25" fillId="0" borderId="18" xfId="0" applyFont="1" applyBorder="1" applyAlignment="1">
      <alignment horizontal="left" vertical="center" wrapText="1"/>
    </xf>
    <xf numFmtId="0" fontId="25" fillId="0" borderId="13" xfId="0" applyFont="1" applyBorder="1" applyAlignment="1">
      <alignment horizontal="left" vertical="center" wrapText="1"/>
    </xf>
    <xf numFmtId="0" fontId="25" fillId="0" borderId="36" xfId="0" applyFont="1" applyBorder="1" applyAlignment="1">
      <alignment horizontal="left" vertical="center" wrapText="1"/>
    </xf>
    <xf numFmtId="0" fontId="25" fillId="0" borderId="0" xfId="0" applyFont="1" applyAlignment="1">
      <alignment horizontal="left" vertical="center" wrapText="1"/>
    </xf>
    <xf numFmtId="0" fontId="25" fillId="0" borderId="1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9" xfId="0" applyFont="1" applyBorder="1" applyAlignment="1">
      <alignment horizontal="left" vertical="center" wrapText="1"/>
    </xf>
    <xf numFmtId="0" fontId="25" fillId="0" borderId="15" xfId="0" applyFont="1" applyBorder="1" applyAlignment="1">
      <alignment horizontal="left" vertical="center" wrapText="1"/>
    </xf>
    <xf numFmtId="0" fontId="25" fillId="0" borderId="0" xfId="0" applyFont="1" applyAlignment="1">
      <alignment horizontal="left" wrapText="1"/>
    </xf>
    <xf numFmtId="0" fontId="20" fillId="0" borderId="0" xfId="0" applyFont="1" applyAlignment="1">
      <alignment horizontal="left"/>
    </xf>
    <xf numFmtId="0" fontId="22" fillId="4" borderId="46" xfId="0" applyFont="1" applyFill="1" applyBorder="1" applyAlignment="1">
      <alignment horizontal="left" vertical="center" wrapText="1"/>
    </xf>
    <xf numFmtId="0" fontId="22" fillId="4" borderId="78" xfId="0" applyFont="1" applyFill="1" applyBorder="1" applyAlignment="1">
      <alignment horizontal="left" vertical="center" wrapText="1"/>
    </xf>
    <xf numFmtId="0" fontId="22" fillId="4" borderId="47" xfId="0" applyFont="1" applyFill="1" applyBorder="1" applyAlignment="1">
      <alignment horizontal="left" vertical="center" wrapText="1"/>
    </xf>
    <xf numFmtId="0" fontId="22" fillId="4" borderId="48" xfId="0" applyFont="1" applyFill="1" applyBorder="1" applyAlignment="1">
      <alignment horizontal="left" vertical="center" wrapText="1"/>
    </xf>
    <xf numFmtId="0" fontId="30" fillId="0" borderId="30" xfId="0" applyFont="1" applyBorder="1" applyAlignment="1">
      <alignment horizontal="center" vertical="center" wrapText="1"/>
    </xf>
    <xf numFmtId="0" fontId="30" fillId="0" borderId="33" xfId="0" applyFont="1" applyBorder="1" applyAlignment="1">
      <alignment horizontal="center" vertical="center" wrapText="1"/>
    </xf>
    <xf numFmtId="0" fontId="22" fillId="12" borderId="46" xfId="0" applyFont="1" applyFill="1" applyBorder="1" applyAlignment="1">
      <alignment horizontal="left" vertical="center" wrapText="1"/>
    </xf>
    <xf numFmtId="0" fontId="22" fillId="12" borderId="47" xfId="0" applyFont="1" applyFill="1" applyBorder="1" applyAlignment="1">
      <alignment horizontal="left" vertical="center"/>
    </xf>
    <xf numFmtId="0" fontId="22" fillId="12" borderId="48" xfId="0" applyFont="1" applyFill="1" applyBorder="1" applyAlignment="1">
      <alignment horizontal="left" vertical="center"/>
    </xf>
    <xf numFmtId="0" fontId="22" fillId="12" borderId="49" xfId="0" applyFont="1" applyFill="1" applyBorder="1" applyAlignment="1">
      <alignment horizontal="left" vertical="center" wrapText="1"/>
    </xf>
    <xf numFmtId="0" fontId="22" fillId="12" borderId="50" xfId="0" applyFont="1" applyFill="1" applyBorder="1" applyAlignment="1">
      <alignment horizontal="left" vertical="center" wrapText="1"/>
    </xf>
    <xf numFmtId="0" fontId="22" fillId="12" borderId="51" xfId="0" applyFont="1" applyFill="1" applyBorder="1" applyAlignment="1">
      <alignment horizontal="left" vertical="center" wrapText="1"/>
    </xf>
    <xf numFmtId="0" fontId="22" fillId="12" borderId="47" xfId="0" applyFont="1" applyFill="1" applyBorder="1" applyAlignment="1">
      <alignment horizontal="left" vertical="center" wrapText="1"/>
    </xf>
    <xf numFmtId="0" fontId="22" fillId="12" borderId="48" xfId="0" applyFont="1" applyFill="1" applyBorder="1" applyAlignment="1">
      <alignment horizontal="left" vertical="center" wrapText="1"/>
    </xf>
    <xf numFmtId="0" fontId="22" fillId="33" borderId="46" xfId="0" applyFont="1" applyFill="1" applyBorder="1" applyAlignment="1">
      <alignment vertical="center" wrapText="1"/>
    </xf>
    <xf numFmtId="0" fontId="22" fillId="33" borderId="47" xfId="0" applyFont="1" applyFill="1" applyBorder="1" applyAlignment="1">
      <alignment vertical="center"/>
    </xf>
    <xf numFmtId="0" fontId="22" fillId="33" borderId="48" xfId="0" applyFont="1" applyFill="1" applyBorder="1" applyAlignment="1">
      <alignment vertical="center"/>
    </xf>
    <xf numFmtId="0" fontId="22" fillId="33" borderId="46" xfId="0" applyFont="1" applyFill="1" applyBorder="1" applyAlignment="1">
      <alignment horizontal="left" vertical="center" wrapText="1"/>
    </xf>
    <xf numFmtId="0" fontId="22" fillId="33" borderId="47" xfId="0" applyFont="1" applyFill="1" applyBorder="1" applyAlignment="1">
      <alignment horizontal="left" vertical="center" wrapText="1"/>
    </xf>
    <xf numFmtId="0" fontId="22" fillId="33" borderId="48" xfId="0" applyFont="1" applyFill="1" applyBorder="1" applyAlignment="1">
      <alignment horizontal="left" vertical="center" wrapText="1"/>
    </xf>
    <xf numFmtId="0" fontId="25" fillId="0" borderId="9" xfId="0" applyFont="1" applyBorder="1" applyAlignment="1">
      <alignment horizontal="left" vertical="center" wrapText="1"/>
    </xf>
    <xf numFmtId="0" fontId="11" fillId="5" borderId="11" xfId="0" applyFont="1" applyFill="1" applyBorder="1" applyAlignment="1">
      <alignment vertical="center" wrapText="1"/>
    </xf>
    <xf numFmtId="0" fontId="11" fillId="5" borderId="27" xfId="0" applyFont="1" applyFill="1" applyBorder="1" applyAlignment="1">
      <alignment vertical="center" wrapText="1"/>
    </xf>
    <xf numFmtId="0" fontId="11" fillId="5" borderId="12" xfId="0" applyFont="1" applyFill="1" applyBorder="1" applyAlignment="1">
      <alignment vertical="center" wrapText="1"/>
    </xf>
    <xf numFmtId="0" fontId="11" fillId="5" borderId="1" xfId="0" applyFont="1" applyFill="1" applyBorder="1" applyAlignment="1">
      <alignment horizontal="left" vertical="center" wrapText="1"/>
    </xf>
    <xf numFmtId="0" fontId="11" fillId="5" borderId="1" xfId="0" applyFont="1" applyFill="1" applyBorder="1" applyAlignment="1">
      <alignment vertical="center" wrapText="1"/>
    </xf>
    <xf numFmtId="0" fontId="22" fillId="33" borderId="47" xfId="0" applyFont="1" applyFill="1" applyBorder="1" applyAlignment="1">
      <alignment horizontal="left" vertical="center"/>
    </xf>
    <xf numFmtId="0" fontId="22" fillId="33" borderId="48" xfId="0" applyFont="1" applyFill="1" applyBorder="1" applyAlignment="1">
      <alignment horizontal="left" vertical="center"/>
    </xf>
    <xf numFmtId="0" fontId="25" fillId="0" borderId="11"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11" xfId="0" applyFont="1" applyBorder="1" applyAlignment="1">
      <alignment horizontal="left" vertical="center" wrapText="1"/>
    </xf>
    <xf numFmtId="0" fontId="25" fillId="0" borderId="4" xfId="0" applyFont="1" applyBorder="1" applyAlignment="1">
      <alignment horizontal="left" vertical="center" wrapText="1"/>
    </xf>
    <xf numFmtId="0" fontId="11" fillId="5" borderId="28"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25" fillId="0" borderId="3" xfId="0" applyFont="1" applyBorder="1" applyAlignment="1">
      <alignment horizontal="center" vertical="center" wrapText="1"/>
    </xf>
    <xf numFmtId="0" fontId="25" fillId="0" borderId="7" xfId="0" applyFont="1" applyBorder="1" applyAlignment="1">
      <alignment horizontal="center" vertical="center" wrapText="1"/>
    </xf>
    <xf numFmtId="0" fontId="11" fillId="5" borderId="3" xfId="0" applyFont="1" applyFill="1" applyBorder="1" applyAlignment="1">
      <alignment horizontal="left" vertical="center" wrapText="1"/>
    </xf>
    <xf numFmtId="0" fontId="11" fillId="5" borderId="8" xfId="0" applyFont="1" applyFill="1" applyBorder="1" applyAlignment="1">
      <alignment horizontal="left" vertical="center" wrapText="1"/>
    </xf>
    <xf numFmtId="0" fontId="22" fillId="14" borderId="0" xfId="0" applyFont="1" applyFill="1" applyAlignment="1">
      <alignment horizontal="left" vertical="center" wrapText="1"/>
    </xf>
    <xf numFmtId="0" fontId="11" fillId="5" borderId="4" xfId="0" applyFont="1" applyFill="1" applyBorder="1" applyAlignment="1">
      <alignment vertical="center" wrapText="1"/>
    </xf>
    <xf numFmtId="0" fontId="22" fillId="13" borderId="0" xfId="0" applyFont="1" applyFill="1" applyAlignment="1">
      <alignment horizontal="center" vertical="center" wrapText="1"/>
    </xf>
    <xf numFmtId="0" fontId="22" fillId="13" borderId="19" xfId="0" applyFont="1" applyFill="1" applyBorder="1" applyAlignment="1">
      <alignment horizontal="center" vertical="center" wrapText="1"/>
    </xf>
    <xf numFmtId="0" fontId="22" fillId="13" borderId="0" xfId="0" applyFont="1" applyFill="1" applyAlignment="1">
      <alignment horizontal="left" vertical="center" wrapText="1"/>
    </xf>
    <xf numFmtId="0" fontId="25" fillId="0" borderId="28" xfId="0" applyFont="1" applyBorder="1" applyAlignment="1">
      <alignment horizontal="center" vertical="center" wrapText="1"/>
    </xf>
    <xf numFmtId="0" fontId="11" fillId="5" borderId="3"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12" xfId="0" applyFont="1" applyBorder="1" applyAlignment="1">
      <alignment horizontal="center" vertical="center" wrapText="1"/>
    </xf>
    <xf numFmtId="0" fontId="91" fillId="56" borderId="25" xfId="0" applyFont="1" applyFill="1" applyBorder="1" applyAlignment="1">
      <alignment horizontal="center" vertical="center" wrapText="1"/>
    </xf>
    <xf numFmtId="0" fontId="91" fillId="56" borderId="30" xfId="0" applyFont="1" applyFill="1" applyBorder="1" applyAlignment="1">
      <alignment horizontal="center" vertical="center" wrapText="1"/>
    </xf>
    <xf numFmtId="0" fontId="25" fillId="0" borderId="25" xfId="0" applyFont="1" applyBorder="1" applyAlignment="1">
      <alignment horizontal="left" vertical="center" wrapText="1"/>
    </xf>
    <xf numFmtId="0" fontId="25" fillId="0" borderId="30" xfId="0" applyFont="1" applyBorder="1" applyAlignment="1">
      <alignment horizontal="left" vertical="center" wrapText="1"/>
    </xf>
    <xf numFmtId="0" fontId="25" fillId="0" borderId="33" xfId="0" applyFont="1" applyBorder="1" applyAlignment="1">
      <alignment horizontal="left" vertical="center" wrapText="1"/>
    </xf>
    <xf numFmtId="0" fontId="25" fillId="0" borderId="25" xfId="0" applyFont="1" applyBorder="1" applyAlignment="1">
      <alignment horizontal="center" vertical="center" wrapText="1"/>
    </xf>
    <xf numFmtId="0" fontId="25" fillId="0" borderId="30" xfId="0" applyFont="1" applyBorder="1" applyAlignment="1">
      <alignment horizontal="center" vertical="center" wrapText="1"/>
    </xf>
    <xf numFmtId="0" fontId="25" fillId="0" borderId="33" xfId="0" applyFont="1" applyBorder="1" applyAlignment="1">
      <alignment horizontal="center" vertical="center" wrapText="1"/>
    </xf>
    <xf numFmtId="0" fontId="91" fillId="56" borderId="33" xfId="0" applyFont="1" applyFill="1" applyBorder="1" applyAlignment="1">
      <alignment horizontal="center" vertical="center" wrapText="1"/>
    </xf>
    <xf numFmtId="0" fontId="25" fillId="0" borderId="79" xfId="0" applyFont="1" applyBorder="1" applyAlignment="1">
      <alignment horizontal="center" vertical="center" wrapText="1"/>
    </xf>
    <xf numFmtId="0" fontId="25" fillId="0" borderId="35" xfId="0" applyFont="1" applyBorder="1" applyAlignment="1">
      <alignment horizontal="center" vertical="center" wrapText="1"/>
    </xf>
    <xf numFmtId="0" fontId="25" fillId="0" borderId="26" xfId="0" applyFont="1" applyBorder="1" applyAlignment="1">
      <alignment horizontal="center" vertical="center"/>
    </xf>
    <xf numFmtId="0" fontId="25" fillId="0" borderId="19" xfId="0" applyFont="1" applyBorder="1" applyAlignment="1">
      <alignment horizontal="center" vertical="center"/>
    </xf>
    <xf numFmtId="0" fontId="25" fillId="0" borderId="15" xfId="0" applyFont="1" applyBorder="1" applyAlignment="1">
      <alignment horizontal="center" vertical="center"/>
    </xf>
    <xf numFmtId="0" fontId="25" fillId="5" borderId="44" xfId="0" applyFont="1" applyFill="1" applyBorder="1" applyAlignment="1">
      <alignment horizontal="left" vertical="center" wrapText="1"/>
    </xf>
    <xf numFmtId="0" fontId="25" fillId="5" borderId="18" xfId="0" applyFont="1" applyFill="1" applyBorder="1" applyAlignment="1">
      <alignment horizontal="left" vertical="center" wrapText="1"/>
    </xf>
    <xf numFmtId="0" fontId="25" fillId="0" borderId="1" xfId="0" applyFont="1" applyBorder="1" applyAlignment="1">
      <alignment horizontal="center" vertical="center" wrapText="1"/>
    </xf>
    <xf numFmtId="0" fontId="25" fillId="0" borderId="1" xfId="0" applyFont="1" applyBorder="1" applyAlignment="1">
      <alignment horizontal="left" vertical="center" wrapText="1"/>
    </xf>
    <xf numFmtId="0" fontId="25" fillId="5" borderId="9" xfId="0" applyFont="1" applyFill="1" applyBorder="1" applyAlignment="1">
      <alignment horizontal="left" vertical="center" wrapText="1"/>
    </xf>
    <xf numFmtId="0" fontId="25" fillId="5" borderId="13" xfId="0" applyFont="1" applyFill="1" applyBorder="1" applyAlignment="1">
      <alignment horizontal="left" vertical="center" wrapText="1"/>
    </xf>
    <xf numFmtId="0" fontId="25" fillId="5" borderId="26" xfId="0" applyFont="1" applyFill="1" applyBorder="1" applyAlignment="1">
      <alignment horizontal="left" vertical="center" wrapText="1"/>
    </xf>
    <xf numFmtId="0" fontId="25" fillId="5" borderId="19" xfId="0" applyFont="1" applyFill="1" applyBorder="1" applyAlignment="1">
      <alignment horizontal="left" vertical="center" wrapText="1"/>
    </xf>
    <xf numFmtId="0" fontId="25" fillId="5" borderId="15" xfId="0" applyFont="1" applyFill="1" applyBorder="1" applyAlignment="1">
      <alignment horizontal="left" vertical="center" wrapText="1"/>
    </xf>
    <xf numFmtId="0" fontId="25" fillId="5" borderId="1" xfId="0" applyFont="1" applyFill="1" applyBorder="1" applyAlignment="1">
      <alignment horizontal="left" vertical="center" wrapText="1"/>
    </xf>
    <xf numFmtId="0" fontId="25" fillId="12" borderId="2" xfId="0" applyFont="1" applyFill="1" applyBorder="1" applyAlignment="1">
      <alignment horizontal="center" vertical="center"/>
    </xf>
    <xf numFmtId="0" fontId="25" fillId="12" borderId="5" xfId="0" applyFont="1" applyFill="1" applyBorder="1" applyAlignment="1">
      <alignment horizontal="center" vertical="center"/>
    </xf>
    <xf numFmtId="0" fontId="25" fillId="12" borderId="6" xfId="0" applyFont="1" applyFill="1" applyBorder="1" applyAlignment="1">
      <alignment horizontal="center" vertical="center"/>
    </xf>
    <xf numFmtId="0" fontId="25" fillId="30" borderId="2" xfId="0" applyFont="1" applyFill="1" applyBorder="1" applyAlignment="1">
      <alignment horizontal="center" vertical="center"/>
    </xf>
    <xf numFmtId="0" fontId="25" fillId="30" borderId="5" xfId="0" applyFont="1" applyFill="1" applyBorder="1" applyAlignment="1">
      <alignment horizontal="center" vertical="center"/>
    </xf>
    <xf numFmtId="0" fontId="25" fillId="30" borderId="6" xfId="0" applyFont="1" applyFill="1" applyBorder="1" applyAlignment="1">
      <alignment horizontal="center" vertical="center"/>
    </xf>
    <xf numFmtId="0" fontId="10" fillId="0" borderId="6" xfId="0" applyFont="1" applyBorder="1" applyAlignment="1">
      <alignment horizontal="left" vertical="center" wrapText="1"/>
    </xf>
    <xf numFmtId="0" fontId="10" fillId="0" borderId="1" xfId="0" applyFont="1" applyBorder="1" applyAlignment="1">
      <alignment horizontal="left" vertical="center" wrapText="1"/>
    </xf>
    <xf numFmtId="0" fontId="20" fillId="26" borderId="5" xfId="0" applyFont="1" applyFill="1" applyBorder="1" applyAlignment="1">
      <alignment horizontal="center" vertical="center"/>
    </xf>
    <xf numFmtId="0" fontId="20" fillId="26" borderId="6" xfId="0" applyFont="1" applyFill="1" applyBorder="1" applyAlignment="1">
      <alignment horizontal="center" vertical="center"/>
    </xf>
    <xf numFmtId="0" fontId="10" fillId="0" borderId="9" xfId="0" applyFont="1" applyBorder="1" applyAlignment="1">
      <alignment horizontal="center" vertical="center"/>
    </xf>
    <xf numFmtId="0" fontId="10" fillId="0" borderId="26" xfId="0" applyFont="1" applyBorder="1" applyAlignment="1">
      <alignment horizontal="center" vertical="center"/>
    </xf>
    <xf numFmtId="164" fontId="30" fillId="0" borderId="3" xfId="1" applyNumberFormat="1" applyFont="1" applyFill="1" applyBorder="1" applyAlignment="1">
      <alignment horizontal="left" vertical="center" wrapText="1"/>
    </xf>
    <xf numFmtId="164" fontId="30" fillId="0" borderId="8" xfId="1" applyNumberFormat="1" applyFont="1" applyFill="1" applyBorder="1" applyAlignment="1">
      <alignment horizontal="left" vertical="center" wrapText="1"/>
    </xf>
    <xf numFmtId="164" fontId="30" fillId="0" borderId="7" xfId="1" applyNumberFormat="1" applyFont="1" applyFill="1" applyBorder="1" applyAlignment="1">
      <alignment horizontal="left" vertical="center" wrapText="1"/>
    </xf>
    <xf numFmtId="0" fontId="12" fillId="0" borderId="1" xfId="0" applyFont="1" applyBorder="1" applyAlignment="1">
      <alignment horizontal="center" vertical="center" wrapText="1"/>
    </xf>
    <xf numFmtId="164" fontId="30" fillId="0" borderId="11" xfId="1" applyNumberFormat="1" applyFont="1" applyFill="1" applyBorder="1" applyAlignment="1">
      <alignment horizontal="left" vertical="center" wrapText="1"/>
    </xf>
    <xf numFmtId="164" fontId="30" fillId="0" borderId="4" xfId="1" applyNumberFormat="1" applyFont="1" applyFill="1" applyBorder="1" applyAlignment="1">
      <alignment horizontal="left" vertical="center" wrapText="1"/>
    </xf>
    <xf numFmtId="164" fontId="25" fillId="0" borderId="26" xfId="1" applyNumberFormat="1" applyFont="1" applyFill="1" applyBorder="1" applyAlignment="1">
      <alignment horizontal="left" vertical="center" wrapText="1"/>
    </xf>
    <xf numFmtId="164" fontId="25" fillId="0" borderId="19" xfId="1" applyNumberFormat="1" applyFont="1" applyFill="1" applyBorder="1" applyAlignment="1">
      <alignment horizontal="left" vertical="center" wrapText="1"/>
    </xf>
    <xf numFmtId="164" fontId="25" fillId="0" borderId="15" xfId="1" applyNumberFormat="1" applyFont="1" applyFill="1" applyBorder="1" applyAlignment="1">
      <alignment horizontal="left" vertical="center" wrapText="1"/>
    </xf>
    <xf numFmtId="0" fontId="25" fillId="0" borderId="40" xfId="0" applyFont="1" applyBorder="1" applyAlignment="1">
      <alignment horizontal="center" vertical="center" wrapText="1"/>
    </xf>
    <xf numFmtId="0" fontId="73" fillId="0" borderId="2" xfId="0" applyFont="1" applyBorder="1" applyAlignment="1">
      <alignment horizontal="left" vertical="center"/>
    </xf>
    <xf numFmtId="0" fontId="73" fillId="0" borderId="6" xfId="0" applyFont="1" applyBorder="1" applyAlignment="1">
      <alignment horizontal="left" vertical="center"/>
    </xf>
    <xf numFmtId="0" fontId="48" fillId="0" borderId="1" xfId="0" applyFont="1" applyBorder="1" applyAlignment="1">
      <alignment horizontal="center" vertical="center"/>
    </xf>
    <xf numFmtId="0" fontId="48" fillId="0" borderId="2" xfId="0" applyFont="1" applyBorder="1" applyAlignment="1">
      <alignment horizontal="center" vertical="center"/>
    </xf>
    <xf numFmtId="0" fontId="48" fillId="0" borderId="6" xfId="0" applyFont="1" applyBorder="1" applyAlignment="1">
      <alignment horizontal="center" vertical="center"/>
    </xf>
    <xf numFmtId="0" fontId="85" fillId="0" borderId="0" xfId="0" applyFont="1" applyAlignment="1">
      <alignment horizontal="center" vertical="center"/>
    </xf>
    <xf numFmtId="0" fontId="86" fillId="40" borderId="9" xfId="0" applyFont="1" applyFill="1" applyBorder="1" applyAlignment="1">
      <alignment horizontal="center" vertical="center"/>
    </xf>
    <xf numFmtId="0" fontId="86" fillId="40" borderId="13" xfId="0" applyFont="1" applyFill="1" applyBorder="1" applyAlignment="1">
      <alignment horizontal="center" vertical="center"/>
    </xf>
    <xf numFmtId="0" fontId="86" fillId="40" borderId="26" xfId="0" applyFont="1" applyFill="1" applyBorder="1" applyAlignment="1">
      <alignment horizontal="center" vertical="center"/>
    </xf>
    <xf numFmtId="0" fontId="86" fillId="40" borderId="15" xfId="0" applyFont="1" applyFill="1" applyBorder="1" applyAlignment="1">
      <alignment horizontal="center" vertical="center"/>
    </xf>
    <xf numFmtId="0" fontId="20" fillId="44" borderId="2" xfId="0" applyFont="1" applyFill="1" applyBorder="1" applyAlignment="1">
      <alignment horizontal="center" vertical="center"/>
    </xf>
    <xf numFmtId="0" fontId="20" fillId="44" borderId="6" xfId="0" applyFont="1" applyFill="1" applyBorder="1" applyAlignment="1">
      <alignment horizontal="center" vertical="center"/>
    </xf>
    <xf numFmtId="0" fontId="73" fillId="0" borderId="2" xfId="0" applyFont="1" applyBorder="1" applyAlignment="1">
      <alignment horizontal="left" vertical="center" wrapText="1"/>
    </xf>
    <xf numFmtId="0" fontId="73" fillId="0" borderId="6" xfId="0" applyFont="1" applyBorder="1" applyAlignment="1">
      <alignment horizontal="left" vertical="center" wrapText="1"/>
    </xf>
    <xf numFmtId="0" fontId="73" fillId="0" borderId="3" xfId="0" applyFont="1" applyBorder="1" applyAlignment="1">
      <alignment horizontal="left" vertical="center" wrapText="1"/>
    </xf>
    <xf numFmtId="0" fontId="73" fillId="0" borderId="7" xfId="0" applyFont="1" applyBorder="1" applyAlignment="1">
      <alignment horizontal="left" vertical="center" wrapText="1"/>
    </xf>
    <xf numFmtId="164" fontId="52" fillId="0" borderId="2" xfId="1" applyNumberFormat="1" applyFont="1" applyBorder="1" applyAlignment="1">
      <alignment horizontal="center" vertical="center"/>
    </xf>
    <xf numFmtId="164" fontId="52" fillId="0" borderId="5" xfId="1" applyNumberFormat="1" applyFont="1" applyBorder="1" applyAlignment="1">
      <alignment horizontal="center" vertical="center"/>
    </xf>
    <xf numFmtId="164" fontId="52" fillId="0" borderId="6" xfId="1" applyNumberFormat="1" applyFont="1" applyBorder="1" applyAlignment="1">
      <alignment horizontal="center" vertical="center"/>
    </xf>
    <xf numFmtId="0" fontId="48" fillId="0" borderId="0" xfId="0" applyFont="1" applyAlignment="1">
      <alignment horizontal="center"/>
    </xf>
    <xf numFmtId="0" fontId="50" fillId="0" borderId="0" xfId="0" applyFont="1" applyAlignment="1">
      <alignment horizontal="center"/>
    </xf>
    <xf numFmtId="0" fontId="22" fillId="13" borderId="18" xfId="0" applyFont="1" applyFill="1" applyBorder="1" applyAlignment="1">
      <alignment horizontal="center" vertical="center" wrapText="1"/>
    </xf>
    <xf numFmtId="0" fontId="20" fillId="42" borderId="9" xfId="0" applyFont="1" applyFill="1" applyBorder="1" applyAlignment="1">
      <alignment horizontal="center" vertical="center"/>
    </xf>
    <xf numFmtId="0" fontId="20" fillId="42" borderId="26" xfId="0" applyFont="1" applyFill="1" applyBorder="1" applyAlignment="1">
      <alignment horizontal="center" vertical="center"/>
    </xf>
    <xf numFmtId="0" fontId="61" fillId="45" borderId="2" xfId="0" applyFont="1" applyFill="1" applyBorder="1" applyAlignment="1">
      <alignment horizontal="center"/>
    </xf>
    <xf numFmtId="0" fontId="61" fillId="45" borderId="5" xfId="0" applyFont="1" applyFill="1" applyBorder="1" applyAlignment="1">
      <alignment horizontal="center"/>
    </xf>
    <xf numFmtId="0" fontId="57" fillId="13" borderId="9" xfId="0" applyFont="1" applyFill="1" applyBorder="1" applyAlignment="1">
      <alignment horizontal="left" vertical="center" wrapText="1"/>
    </xf>
    <xf numFmtId="0" fontId="57" fillId="13" borderId="36" xfId="0" applyFont="1" applyFill="1" applyBorder="1" applyAlignment="1">
      <alignment horizontal="left" vertical="center" wrapText="1"/>
    </xf>
    <xf numFmtId="0" fontId="57" fillId="13" borderId="26" xfId="0" applyFont="1" applyFill="1" applyBorder="1" applyAlignment="1">
      <alignment horizontal="left" vertical="center" wrapText="1"/>
    </xf>
    <xf numFmtId="0" fontId="57" fillId="13" borderId="2" xfId="0" applyFont="1" applyFill="1" applyBorder="1" applyAlignment="1">
      <alignment horizontal="left" wrapText="1"/>
    </xf>
    <xf numFmtId="0" fontId="59" fillId="46" borderId="5" xfId="0" applyFont="1" applyFill="1" applyBorder="1" applyAlignment="1">
      <alignment horizontal="right" vertical="center"/>
    </xf>
    <xf numFmtId="0" fontId="71" fillId="14" borderId="3" xfId="0" applyFont="1" applyFill="1" applyBorder="1" applyAlignment="1">
      <alignment horizontal="center" vertical="center" wrapText="1"/>
    </xf>
    <xf numFmtId="0" fontId="71" fillId="14" borderId="8" xfId="0" applyFont="1" applyFill="1" applyBorder="1" applyAlignment="1">
      <alignment horizontal="center" vertical="center" wrapText="1"/>
    </xf>
    <xf numFmtId="0" fontId="58" fillId="14" borderId="3" xfId="0" applyFont="1" applyFill="1" applyBorder="1" applyAlignment="1">
      <alignment horizontal="center" wrapText="1"/>
    </xf>
    <xf numFmtId="0" fontId="58" fillId="14" borderId="8" xfId="0" applyFont="1" applyFill="1" applyBorder="1" applyAlignment="1">
      <alignment horizontal="center" wrapText="1"/>
    </xf>
    <xf numFmtId="0" fontId="58" fillId="14" borderId="7" xfId="0" applyFont="1" applyFill="1" applyBorder="1" applyAlignment="1">
      <alignment horizontal="center" wrapText="1"/>
    </xf>
    <xf numFmtId="0" fontId="71" fillId="14" borderId="7" xfId="0" applyFont="1" applyFill="1" applyBorder="1" applyAlignment="1">
      <alignment horizontal="center" vertical="center" wrapText="1"/>
    </xf>
    <xf numFmtId="0" fontId="20" fillId="31" borderId="9" xfId="0" applyFont="1" applyFill="1" applyBorder="1" applyAlignment="1">
      <alignment horizontal="center" vertical="center"/>
    </xf>
    <xf numFmtId="0" fontId="20" fillId="31" borderId="26" xfId="0" applyFont="1" applyFill="1" applyBorder="1" applyAlignment="1">
      <alignment horizontal="center" vertical="center"/>
    </xf>
    <xf numFmtId="0" fontId="22" fillId="14" borderId="18" xfId="0" applyFont="1" applyFill="1" applyBorder="1" applyAlignment="1">
      <alignment horizontal="center" vertical="center" wrapText="1"/>
    </xf>
    <xf numFmtId="0" fontId="22" fillId="14" borderId="19" xfId="0" applyFont="1" applyFill="1" applyBorder="1" applyAlignment="1">
      <alignment horizontal="center" vertical="center" wrapText="1"/>
    </xf>
    <xf numFmtId="0" fontId="58" fillId="14" borderId="1" xfId="0" applyFont="1" applyFill="1" applyBorder="1" applyAlignment="1">
      <alignment horizontal="center" wrapText="1"/>
    </xf>
    <xf numFmtId="0" fontId="48" fillId="0" borderId="0" xfId="0" applyFont="1" applyAlignment="1">
      <alignment horizontal="center" vertical="center"/>
    </xf>
    <xf numFmtId="0" fontId="50" fillId="0" borderId="0" xfId="0" applyFont="1" applyAlignment="1">
      <alignment horizontal="center" vertical="center"/>
    </xf>
    <xf numFmtId="0" fontId="22" fillId="4" borderId="52" xfId="0" applyFont="1" applyFill="1" applyBorder="1" applyAlignment="1">
      <alignment horizontal="center" vertical="center" wrapText="1"/>
    </xf>
    <xf numFmtId="0" fontId="22" fillId="4" borderId="52" xfId="0" applyFont="1" applyFill="1" applyBorder="1" applyAlignment="1">
      <alignment horizontal="center" vertical="center"/>
    </xf>
    <xf numFmtId="0" fontId="22" fillId="4" borderId="19" xfId="0" applyFont="1" applyFill="1" applyBorder="1" applyAlignment="1">
      <alignment horizontal="center" vertical="center"/>
    </xf>
    <xf numFmtId="0" fontId="58" fillId="4" borderId="53" xfId="0" applyFont="1" applyFill="1" applyBorder="1" applyAlignment="1">
      <alignment horizontal="center" vertical="center"/>
    </xf>
    <xf numFmtId="0" fontId="58" fillId="4" borderId="54" xfId="0" applyFont="1" applyFill="1" applyBorder="1" applyAlignment="1">
      <alignment horizontal="center" vertical="center"/>
    </xf>
    <xf numFmtId="0" fontId="48" fillId="0" borderId="55" xfId="0" applyFont="1" applyBorder="1" applyAlignment="1">
      <alignment horizontal="center" vertical="center" wrapText="1"/>
    </xf>
    <xf numFmtId="0" fontId="20" fillId="10" borderId="56" xfId="0" applyFont="1" applyFill="1" applyBorder="1" applyAlignment="1">
      <alignment horizontal="center" vertical="center"/>
    </xf>
    <xf numFmtId="0" fontId="20" fillId="10" borderId="57" xfId="0" applyFont="1" applyFill="1" applyBorder="1" applyAlignment="1">
      <alignment horizontal="center" vertical="center"/>
    </xf>
    <xf numFmtId="0" fontId="63" fillId="47" borderId="2" xfId="0" applyFont="1" applyFill="1" applyBorder="1" applyAlignment="1">
      <alignment horizontal="right" vertical="center"/>
    </xf>
    <xf numFmtId="0" fontId="63" fillId="47" borderId="5" xfId="0" applyFont="1" applyFill="1" applyBorder="1" applyAlignment="1">
      <alignment horizontal="right" vertical="center"/>
    </xf>
    <xf numFmtId="0" fontId="58" fillId="4" borderId="58" xfId="0" applyFont="1" applyFill="1" applyBorder="1" applyAlignment="1">
      <alignment horizontal="center" vertical="center"/>
    </xf>
    <xf numFmtId="0" fontId="64" fillId="48" borderId="2" xfId="0" applyFont="1" applyFill="1" applyBorder="1" applyAlignment="1">
      <alignment horizontal="right" vertical="center"/>
    </xf>
    <xf numFmtId="0" fontId="64" fillId="48" borderId="5" xfId="0" applyFont="1" applyFill="1" applyBorder="1" applyAlignment="1">
      <alignment horizontal="right" vertical="center"/>
    </xf>
    <xf numFmtId="0" fontId="22" fillId="12" borderId="52" xfId="0" applyFont="1" applyFill="1" applyBorder="1" applyAlignment="1">
      <alignment horizontal="center" vertical="center"/>
    </xf>
    <xf numFmtId="0" fontId="22" fillId="12" borderId="19" xfId="0" applyFont="1" applyFill="1" applyBorder="1" applyAlignment="1">
      <alignment horizontal="center" vertical="center"/>
    </xf>
    <xf numFmtId="0" fontId="20" fillId="42" borderId="56" xfId="0" applyFont="1" applyFill="1" applyBorder="1" applyAlignment="1">
      <alignment horizontal="center" vertical="center"/>
    </xf>
    <xf numFmtId="0" fontId="20" fillId="42" borderId="57" xfId="0" applyFont="1" applyFill="1" applyBorder="1" applyAlignment="1">
      <alignment horizontal="center" vertical="center"/>
    </xf>
    <xf numFmtId="0" fontId="65" fillId="21" borderId="2" xfId="0" applyFont="1" applyFill="1" applyBorder="1" applyAlignment="1">
      <alignment horizontal="left" vertical="center"/>
    </xf>
    <xf numFmtId="0" fontId="65" fillId="21" borderId="5" xfId="0" applyFont="1" applyFill="1" applyBorder="1" applyAlignment="1">
      <alignment horizontal="left" vertical="center"/>
    </xf>
    <xf numFmtId="0" fontId="58" fillId="11" borderId="53" xfId="0" applyFont="1" applyFill="1" applyBorder="1" applyAlignment="1">
      <alignment horizontal="center" vertical="center"/>
    </xf>
    <xf numFmtId="0" fontId="58" fillId="11" borderId="54" xfId="0" applyFont="1" applyFill="1" applyBorder="1" applyAlignment="1">
      <alignment horizontal="center" vertical="center"/>
    </xf>
    <xf numFmtId="0" fontId="65" fillId="21" borderId="19" xfId="0" applyFont="1" applyFill="1" applyBorder="1" applyAlignment="1">
      <alignment horizontal="left" vertical="center"/>
    </xf>
    <xf numFmtId="0" fontId="21" fillId="0" borderId="0" xfId="0" applyFont="1" applyAlignment="1">
      <alignment horizontal="center" vertical="center"/>
    </xf>
    <xf numFmtId="0" fontId="20" fillId="0" borderId="0" xfId="0" applyFont="1" applyAlignment="1">
      <alignment horizontal="center" vertical="center"/>
    </xf>
    <xf numFmtId="0" fontId="22" fillId="20" borderId="59" xfId="0" applyFont="1" applyFill="1" applyBorder="1" applyAlignment="1">
      <alignment horizontal="center" vertical="center" wrapText="1"/>
    </xf>
    <xf numFmtId="0" fontId="78" fillId="20" borderId="52" xfId="0" applyFont="1" applyFill="1" applyBorder="1" applyAlignment="1">
      <alignment horizontal="center" vertical="center"/>
    </xf>
    <xf numFmtId="0" fontId="78" fillId="20" borderId="26" xfId="0" applyFont="1" applyFill="1" applyBorder="1" applyAlignment="1">
      <alignment horizontal="center" vertical="center"/>
    </xf>
    <xf numFmtId="0" fontId="78" fillId="20" borderId="19" xfId="0" applyFont="1" applyFill="1" applyBorder="1" applyAlignment="1">
      <alignment horizontal="center" vertical="center"/>
    </xf>
    <xf numFmtId="0" fontId="65" fillId="49" borderId="60" xfId="0" applyFont="1" applyFill="1" applyBorder="1" applyAlignment="1">
      <alignment horizontal="center" vertical="center"/>
    </xf>
    <xf numFmtId="0" fontId="65" fillId="49" borderId="58" xfId="0" applyFont="1" applyFill="1" applyBorder="1" applyAlignment="1">
      <alignment horizontal="center" vertical="center"/>
    </xf>
    <xf numFmtId="0" fontId="65" fillId="50" borderId="2" xfId="0" applyFont="1" applyFill="1" applyBorder="1" applyAlignment="1">
      <alignment horizontal="right" vertical="center"/>
    </xf>
    <xf numFmtId="0" fontId="65" fillId="50" borderId="5" xfId="0" applyFont="1" applyFill="1" applyBorder="1" applyAlignment="1">
      <alignment horizontal="right" vertical="center"/>
    </xf>
    <xf numFmtId="0" fontId="65" fillId="50" borderId="2" xfId="0" applyFont="1" applyFill="1" applyBorder="1" applyAlignment="1">
      <alignment horizontal="center" vertical="center"/>
    </xf>
    <xf numFmtId="0" fontId="65" fillId="50" borderId="5" xfId="0" applyFont="1" applyFill="1" applyBorder="1" applyAlignment="1">
      <alignment horizontal="center" vertical="center"/>
    </xf>
    <xf numFmtId="0" fontId="32" fillId="0" borderId="3" xfId="0" applyFont="1" applyBorder="1" applyAlignment="1">
      <alignment horizontal="center" vertical="center" wrapText="1"/>
    </xf>
    <xf numFmtId="0" fontId="32" fillId="0" borderId="8" xfId="0" applyFont="1" applyBorder="1" applyAlignment="1">
      <alignment horizontal="center" vertical="center" wrapText="1"/>
    </xf>
    <xf numFmtId="0" fontId="32" fillId="0" borderId="7" xfId="0" applyFont="1" applyBorder="1" applyAlignment="1">
      <alignment horizontal="center" vertical="center" wrapText="1"/>
    </xf>
    <xf numFmtId="0" fontId="30" fillId="0" borderId="1" xfId="0" applyFont="1" applyBorder="1" applyAlignment="1">
      <alignment horizontal="left" vertical="center" wrapText="1"/>
    </xf>
    <xf numFmtId="0" fontId="20" fillId="0" borderId="1" xfId="0" applyFont="1" applyBorder="1" applyAlignment="1">
      <alignment horizontal="center" vertical="center" wrapText="1"/>
    </xf>
    <xf numFmtId="0" fontId="23" fillId="0" borderId="3" xfId="0" applyFont="1" applyBorder="1" applyAlignment="1">
      <alignment horizontal="left" vertical="center" wrapText="1"/>
    </xf>
    <xf numFmtId="0" fontId="23" fillId="0" borderId="8" xfId="0" applyFont="1" applyBorder="1" applyAlignment="1">
      <alignment horizontal="left" vertical="center" wrapText="1"/>
    </xf>
    <xf numFmtId="0" fontId="23" fillId="0" borderId="7" xfId="0" applyFont="1" applyBorder="1" applyAlignment="1">
      <alignment horizontal="left" vertical="center" wrapText="1"/>
    </xf>
    <xf numFmtId="0" fontId="30" fillId="0" borderId="9" xfId="0" applyFont="1" applyBorder="1" applyAlignment="1">
      <alignment horizontal="left" vertical="center" wrapText="1"/>
    </xf>
    <xf numFmtId="0" fontId="30" fillId="0" borderId="13" xfId="0" applyFont="1" applyBorder="1" applyAlignment="1">
      <alignment horizontal="left" vertical="center" wrapText="1"/>
    </xf>
    <xf numFmtId="0" fontId="30" fillId="7" borderId="2" xfId="0" applyFont="1" applyFill="1" applyBorder="1" applyAlignment="1">
      <alignment horizontal="left" vertical="center" wrapText="1"/>
    </xf>
    <xf numFmtId="0" fontId="30" fillId="7" borderId="5" xfId="0" applyFont="1" applyFill="1" applyBorder="1" applyAlignment="1">
      <alignment horizontal="left" vertical="center" wrapText="1"/>
    </xf>
    <xf numFmtId="0" fontId="30" fillId="7" borderId="6" xfId="0" applyFont="1" applyFill="1" applyBorder="1" applyAlignment="1">
      <alignment horizontal="left" vertical="center" wrapText="1"/>
    </xf>
    <xf numFmtId="0" fontId="30" fillId="7" borderId="2" xfId="0" applyFont="1" applyFill="1" applyBorder="1" applyAlignment="1">
      <alignment horizontal="center" vertical="center" wrapText="1"/>
    </xf>
    <xf numFmtId="0" fontId="30" fillId="7" borderId="5" xfId="0" applyFont="1" applyFill="1" applyBorder="1" applyAlignment="1">
      <alignment horizontal="center" vertical="center" wrapText="1"/>
    </xf>
    <xf numFmtId="0" fontId="30" fillId="7" borderId="6" xfId="0" applyFont="1" applyFill="1" applyBorder="1" applyAlignment="1">
      <alignment horizontal="center" vertical="center" wrapText="1"/>
    </xf>
    <xf numFmtId="0" fontId="23" fillId="0" borderId="1" xfId="0" applyFont="1" applyBorder="1" applyAlignment="1">
      <alignment horizontal="left" vertical="center" wrapText="1"/>
    </xf>
    <xf numFmtId="0" fontId="23" fillId="0" borderId="1" xfId="0" applyFont="1" applyBorder="1" applyAlignment="1">
      <alignment horizontal="center" vertical="center" wrapText="1"/>
    </xf>
    <xf numFmtId="0" fontId="20" fillId="8" borderId="5" xfId="0" applyFont="1" applyFill="1" applyBorder="1" applyAlignment="1">
      <alignment horizontal="left" vertical="center" wrapText="1"/>
    </xf>
    <xf numFmtId="0" fontId="20" fillId="8" borderId="6" xfId="0" applyFont="1" applyFill="1" applyBorder="1" applyAlignment="1">
      <alignment horizontal="left" vertical="center" wrapText="1"/>
    </xf>
    <xf numFmtId="0" fontId="32" fillId="0" borderId="3" xfId="0" applyFont="1" applyBorder="1" applyAlignment="1">
      <alignment horizontal="left" vertical="center" wrapText="1"/>
    </xf>
    <xf numFmtId="0" fontId="32" fillId="0" borderId="8" xfId="0" applyFont="1" applyBorder="1" applyAlignment="1">
      <alignment horizontal="left" vertical="center" wrapText="1"/>
    </xf>
    <xf numFmtId="0" fontId="32" fillId="0" borderId="7" xfId="0" applyFont="1" applyBorder="1" applyAlignment="1">
      <alignment horizontal="left" vertical="center" wrapText="1"/>
    </xf>
    <xf numFmtId="0" fontId="45" fillId="10" borderId="2" xfId="0" applyFont="1" applyFill="1" applyBorder="1" applyAlignment="1">
      <alignment horizontal="left" vertical="center"/>
    </xf>
    <xf numFmtId="0" fontId="45" fillId="10" borderId="6" xfId="0" applyFont="1" applyFill="1" applyBorder="1" applyAlignment="1">
      <alignment horizontal="left" vertical="center"/>
    </xf>
    <xf numFmtId="0" fontId="23" fillId="8" borderId="5" xfId="0" applyFont="1" applyFill="1" applyBorder="1" applyAlignment="1">
      <alignment horizontal="left" vertical="center" wrapText="1"/>
    </xf>
    <xf numFmtId="0" fontId="23" fillId="8" borderId="6" xfId="0" applyFont="1" applyFill="1" applyBorder="1" applyAlignment="1">
      <alignment horizontal="left" vertical="center" wrapText="1"/>
    </xf>
  </cellXfs>
  <cellStyles count="3">
    <cellStyle name="Comma" xfId="1" builtinId="3"/>
    <cellStyle name="Normal" xfId="0" builtinId="0"/>
    <cellStyle name="Normal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5</xdr:col>
      <xdr:colOff>628649</xdr:colOff>
      <xdr:row>11</xdr:row>
      <xdr:rowOff>82829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2480"/>
          <a:ext cx="6922769" cy="37404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pageSetUpPr fitToPage="1"/>
  </sheetPr>
  <dimension ref="A1:Q120"/>
  <sheetViews>
    <sheetView zoomScale="99" zoomScaleNormal="99" workbookViewId="0">
      <selection activeCell="F2" sqref="F2"/>
    </sheetView>
  </sheetViews>
  <sheetFormatPr defaultColWidth="8.83984375" defaultRowHeight="15.3" x14ac:dyDescent="0.55000000000000004"/>
  <cols>
    <col min="1" max="1" width="10.41796875" style="268" customWidth="1"/>
    <col min="2" max="2" width="10.68359375" style="103" customWidth="1"/>
    <col min="3" max="3" width="4.68359375" style="103" customWidth="1"/>
    <col min="4" max="4" width="57.26171875" style="104" customWidth="1"/>
    <col min="5" max="5" width="8.68359375" style="103" customWidth="1"/>
    <col min="6" max="6" width="9.41796875" style="105" customWidth="1"/>
    <col min="7" max="8" width="8.83984375" style="192"/>
    <col min="9" max="9" width="11.41796875" style="192" customWidth="1"/>
    <col min="10" max="16384" width="8.83984375" style="192"/>
  </cols>
  <sheetData>
    <row r="1" spans="1:14" ht="33" customHeight="1" x14ac:dyDescent="0.55000000000000004">
      <c r="A1" s="489"/>
      <c r="B1" s="489"/>
      <c r="C1" s="489"/>
      <c r="D1" s="489"/>
    </row>
    <row r="2" spans="1:14" ht="33" customHeight="1" x14ac:dyDescent="0.55000000000000004"/>
    <row r="3" spans="1:14" ht="45" customHeight="1" x14ac:dyDescent="0.55000000000000004">
      <c r="A3" s="490" t="s">
        <v>371</v>
      </c>
      <c r="B3" s="491"/>
      <c r="C3" s="491"/>
      <c r="D3" s="491"/>
      <c r="E3" s="491"/>
      <c r="F3" s="491"/>
    </row>
    <row r="4" spans="1:14" ht="8.25" customHeight="1" x14ac:dyDescent="0.55000000000000004">
      <c r="A4" s="289"/>
      <c r="B4" s="290"/>
      <c r="C4" s="290"/>
      <c r="D4" s="290"/>
      <c r="E4" s="290"/>
      <c r="F4" s="290"/>
    </row>
    <row r="5" spans="1:14" ht="34.5" customHeight="1" x14ac:dyDescent="0.55000000000000004">
      <c r="A5" s="359" t="s">
        <v>372</v>
      </c>
      <c r="B5" s="360" t="s">
        <v>373</v>
      </c>
      <c r="C5" s="486" t="s">
        <v>374</v>
      </c>
      <c r="D5" s="487"/>
      <c r="E5" s="487"/>
      <c r="F5" s="488"/>
    </row>
    <row r="6" spans="1:14" ht="42.75" customHeight="1" x14ac:dyDescent="0.55000000000000004">
      <c r="A6" s="359" t="s">
        <v>375</v>
      </c>
      <c r="B6" s="361" t="s">
        <v>376</v>
      </c>
      <c r="C6" s="486" t="s">
        <v>377</v>
      </c>
      <c r="D6" s="487"/>
      <c r="E6" s="487"/>
      <c r="F6" s="488"/>
    </row>
    <row r="7" spans="1:14" ht="72" customHeight="1" x14ac:dyDescent="0.55000000000000004">
      <c r="A7" s="359" t="s">
        <v>285</v>
      </c>
      <c r="B7" s="360" t="s">
        <v>378</v>
      </c>
      <c r="C7" s="486" t="s">
        <v>379</v>
      </c>
      <c r="D7" s="487"/>
      <c r="E7" s="487"/>
      <c r="F7" s="488"/>
    </row>
    <row r="8" spans="1:14" ht="74.099999999999994" customHeight="1" x14ac:dyDescent="0.55000000000000004">
      <c r="A8" s="359" t="s">
        <v>380</v>
      </c>
      <c r="B8" s="360" t="s">
        <v>381</v>
      </c>
      <c r="C8" s="486" t="s">
        <v>382</v>
      </c>
      <c r="D8" s="487"/>
      <c r="E8" s="487"/>
      <c r="F8" s="488"/>
    </row>
    <row r="9" spans="1:14" ht="55.15" customHeight="1" x14ac:dyDescent="0.55000000000000004">
      <c r="A9" s="359" t="s">
        <v>287</v>
      </c>
      <c r="B9" s="361" t="s">
        <v>383</v>
      </c>
      <c r="C9" s="486" t="s">
        <v>384</v>
      </c>
      <c r="D9" s="487"/>
      <c r="E9" s="487"/>
      <c r="F9" s="488"/>
    </row>
    <row r="10" spans="1:14" ht="55.15" customHeight="1" x14ac:dyDescent="0.55000000000000004">
      <c r="A10" s="359" t="s">
        <v>288</v>
      </c>
      <c r="B10" s="361" t="s">
        <v>385</v>
      </c>
      <c r="C10" s="492" t="s">
        <v>386</v>
      </c>
      <c r="D10" s="493"/>
      <c r="E10" s="493"/>
      <c r="F10" s="494"/>
    </row>
    <row r="11" spans="1:14" ht="48" customHeight="1" x14ac:dyDescent="0.55000000000000004">
      <c r="A11" s="359" t="s">
        <v>289</v>
      </c>
      <c r="B11" s="361" t="s">
        <v>387</v>
      </c>
      <c r="C11" s="495"/>
      <c r="D11" s="496"/>
      <c r="E11" s="496"/>
      <c r="F11" s="497"/>
    </row>
    <row r="12" spans="1:14" ht="13.5" customHeight="1" x14ac:dyDescent="0.55000000000000004">
      <c r="A12" s="289"/>
      <c r="B12" s="290"/>
      <c r="C12" s="290"/>
      <c r="D12" s="290"/>
      <c r="E12" s="290"/>
      <c r="F12" s="290"/>
    </row>
    <row r="13" spans="1:14" ht="16" customHeight="1" x14ac:dyDescent="0.55000000000000004">
      <c r="A13" s="289"/>
      <c r="B13" s="290"/>
      <c r="C13" s="290"/>
      <c r="D13" s="290"/>
      <c r="E13" s="290"/>
      <c r="F13" s="290"/>
    </row>
    <row r="14" spans="1:14" ht="21.75" customHeight="1" x14ac:dyDescent="0.55000000000000004">
      <c r="A14" s="498" t="s">
        <v>313</v>
      </c>
      <c r="B14" s="498"/>
      <c r="C14" s="498"/>
      <c r="D14" s="498"/>
      <c r="E14" s="498"/>
      <c r="F14" s="458">
        <v>200</v>
      </c>
      <c r="G14" s="499" t="s">
        <v>266</v>
      </c>
      <c r="H14" s="499"/>
      <c r="I14" s="362"/>
      <c r="J14" s="362"/>
      <c r="K14" s="362"/>
      <c r="L14" s="362"/>
      <c r="M14" s="362"/>
      <c r="N14" s="362"/>
    </row>
    <row r="15" spans="1:14" ht="21.75" customHeight="1" x14ac:dyDescent="0.55000000000000004">
      <c r="A15" s="498" t="s">
        <v>314</v>
      </c>
      <c r="B15" s="498"/>
      <c r="C15" s="498"/>
      <c r="D15" s="498"/>
      <c r="E15" s="498"/>
      <c r="F15" s="458">
        <v>300</v>
      </c>
      <c r="G15" s="499"/>
      <c r="H15" s="499"/>
      <c r="I15" s="362"/>
      <c r="J15" s="362"/>
      <c r="K15" s="362"/>
      <c r="L15" s="362"/>
      <c r="M15" s="362"/>
      <c r="N15" s="362"/>
    </row>
    <row r="16" spans="1:14" ht="21.75" customHeight="1" x14ac:dyDescent="0.55000000000000004">
      <c r="A16" s="498" t="s">
        <v>315</v>
      </c>
      <c r="B16" s="498"/>
      <c r="C16" s="498"/>
      <c r="D16" s="498"/>
      <c r="E16" s="498"/>
      <c r="F16" s="458">
        <v>400</v>
      </c>
      <c r="G16" s="499"/>
      <c r="H16" s="499"/>
      <c r="I16" s="362"/>
      <c r="J16" s="362"/>
      <c r="K16" s="362"/>
      <c r="L16" s="362"/>
      <c r="M16" s="362"/>
      <c r="N16" s="362"/>
    </row>
    <row r="17" spans="1:14" ht="21.75" customHeight="1" x14ac:dyDescent="0.55000000000000004">
      <c r="A17" s="498" t="s">
        <v>316</v>
      </c>
      <c r="B17" s="498"/>
      <c r="C17" s="498"/>
      <c r="D17" s="498"/>
      <c r="E17" s="498"/>
      <c r="F17" s="458">
        <v>600</v>
      </c>
      <c r="G17" s="500" t="s">
        <v>265</v>
      </c>
      <c r="H17" s="501" t="s">
        <v>312</v>
      </c>
      <c r="I17" s="362"/>
      <c r="J17" s="362"/>
      <c r="K17" s="362"/>
      <c r="L17" s="362"/>
      <c r="M17" s="362"/>
      <c r="N17" s="362"/>
    </row>
    <row r="18" spans="1:14" ht="21.75" customHeight="1" x14ac:dyDescent="0.55000000000000004">
      <c r="A18" s="498" t="s">
        <v>276</v>
      </c>
      <c r="B18" s="498"/>
      <c r="C18" s="498"/>
      <c r="D18" s="498"/>
      <c r="E18" s="498"/>
      <c r="F18" s="458">
        <v>800</v>
      </c>
      <c r="G18" s="500"/>
      <c r="H18" s="501"/>
      <c r="I18" s="362"/>
      <c r="J18" s="362"/>
      <c r="K18" s="362"/>
      <c r="L18" s="362"/>
      <c r="M18" s="362"/>
      <c r="N18" s="362"/>
    </row>
    <row r="19" spans="1:14" ht="21.75" customHeight="1" x14ac:dyDescent="0.55000000000000004">
      <c r="A19" s="498" t="s">
        <v>317</v>
      </c>
      <c r="B19" s="498"/>
      <c r="C19" s="498"/>
      <c r="D19" s="498"/>
      <c r="E19" s="498"/>
      <c r="F19" s="458">
        <v>900</v>
      </c>
      <c r="G19" s="502"/>
      <c r="H19" s="502"/>
      <c r="I19" s="459"/>
      <c r="J19" s="459"/>
      <c r="K19" s="459"/>
      <c r="L19" s="459"/>
      <c r="M19" s="459"/>
      <c r="N19" s="459"/>
    </row>
    <row r="20" spans="1:14" ht="21.75" customHeight="1" x14ac:dyDescent="0.55000000000000004">
      <c r="A20" s="498" t="s">
        <v>318</v>
      </c>
      <c r="B20" s="498"/>
      <c r="C20" s="498"/>
      <c r="D20" s="498"/>
      <c r="E20" s="498"/>
      <c r="F20" s="458">
        <v>1000</v>
      </c>
      <c r="G20" s="502"/>
      <c r="H20" s="502"/>
      <c r="I20" s="362"/>
      <c r="J20" s="362"/>
      <c r="K20" s="362"/>
      <c r="L20" s="362"/>
      <c r="M20" s="362"/>
      <c r="N20" s="362"/>
    </row>
    <row r="21" spans="1:14" s="193" customFormat="1" ht="30" customHeight="1" x14ac:dyDescent="0.55000000000000004">
      <c r="A21" s="507" t="s">
        <v>202</v>
      </c>
      <c r="B21" s="509" t="s">
        <v>111</v>
      </c>
      <c r="C21" s="510"/>
      <c r="D21" s="510"/>
      <c r="E21" s="510"/>
      <c r="F21" s="291" t="s">
        <v>112</v>
      </c>
      <c r="G21" s="291"/>
      <c r="H21" s="291"/>
    </row>
    <row r="22" spans="1:14" s="193" customFormat="1" ht="30" customHeight="1" x14ac:dyDescent="0.55000000000000004">
      <c r="A22" s="508"/>
      <c r="B22" s="511"/>
      <c r="C22" s="512"/>
      <c r="D22" s="512"/>
      <c r="E22" s="512"/>
      <c r="F22" s="365">
        <v>180</v>
      </c>
      <c r="G22" s="365"/>
      <c r="H22" s="365"/>
    </row>
    <row r="23" spans="1:14" s="294" customFormat="1" ht="30" customHeight="1" x14ac:dyDescent="0.55000000000000004">
      <c r="A23" s="513" t="s">
        <v>246</v>
      </c>
      <c r="B23" s="514" t="s">
        <v>203</v>
      </c>
      <c r="C23" s="516">
        <v>1</v>
      </c>
      <c r="D23" s="292" t="s">
        <v>388</v>
      </c>
      <c r="E23" s="505" t="s">
        <v>247</v>
      </c>
      <c r="F23" s="293">
        <v>20</v>
      </c>
      <c r="G23" s="293"/>
      <c r="H23" s="293"/>
    </row>
    <row r="24" spans="1:14" s="294" customFormat="1" ht="100.5" customHeight="1" x14ac:dyDescent="0.55000000000000004">
      <c r="A24" s="513"/>
      <c r="B24" s="515"/>
      <c r="C24" s="517"/>
      <c r="D24" s="295" t="s">
        <v>389</v>
      </c>
      <c r="E24" s="518"/>
      <c r="F24" s="296">
        <v>70</v>
      </c>
      <c r="G24" s="312"/>
      <c r="H24" s="296"/>
    </row>
    <row r="25" spans="1:14" s="294" customFormat="1" ht="30" customHeight="1" x14ac:dyDescent="0.55000000000000004">
      <c r="A25" s="513"/>
      <c r="B25" s="519" t="s">
        <v>203</v>
      </c>
      <c r="C25" s="521">
        <v>2</v>
      </c>
      <c r="D25" s="295" t="s">
        <v>57</v>
      </c>
      <c r="E25" s="523" t="s">
        <v>247</v>
      </c>
      <c r="F25" s="296">
        <v>25</v>
      </c>
      <c r="G25" s="296"/>
      <c r="H25" s="296"/>
    </row>
    <row r="26" spans="1:14" s="294" customFormat="1" ht="30" customHeight="1" x14ac:dyDescent="0.55000000000000004">
      <c r="A26" s="513"/>
      <c r="B26" s="520"/>
      <c r="C26" s="522"/>
      <c r="D26" s="301" t="s">
        <v>3</v>
      </c>
      <c r="E26" s="524"/>
      <c r="F26" s="303">
        <v>40</v>
      </c>
      <c r="G26" s="303"/>
      <c r="H26" s="303"/>
    </row>
    <row r="27" spans="1:14" s="294" customFormat="1" ht="30" customHeight="1" x14ac:dyDescent="0.55000000000000004">
      <c r="A27" s="513" t="s">
        <v>311</v>
      </c>
      <c r="B27" s="320" t="s">
        <v>203</v>
      </c>
      <c r="C27" s="368">
        <v>3</v>
      </c>
      <c r="D27" s="292" t="s">
        <v>209</v>
      </c>
      <c r="E27" s="299"/>
      <c r="F27" s="293">
        <v>5</v>
      </c>
      <c r="G27" s="293"/>
      <c r="H27" s="293"/>
    </row>
    <row r="28" spans="1:14" s="294" customFormat="1" ht="30" customHeight="1" x14ac:dyDescent="0.55000000000000004">
      <c r="A28" s="525"/>
      <c r="B28" s="326" t="s">
        <v>203</v>
      </c>
      <c r="C28" s="330">
        <v>4</v>
      </c>
      <c r="D28" s="301" t="s">
        <v>210</v>
      </c>
      <c r="E28" s="302"/>
      <c r="F28" s="303">
        <v>10</v>
      </c>
      <c r="G28" s="303"/>
      <c r="H28" s="303"/>
    </row>
    <row r="29" spans="1:14" s="294" customFormat="1" ht="30" customHeight="1" x14ac:dyDescent="0.55000000000000004">
      <c r="A29" s="513" t="s">
        <v>248</v>
      </c>
      <c r="B29" s="514" t="s">
        <v>203</v>
      </c>
      <c r="C29" s="516">
        <v>5</v>
      </c>
      <c r="D29" s="292" t="s">
        <v>390</v>
      </c>
      <c r="E29" s="528" t="s">
        <v>247</v>
      </c>
      <c r="F29" s="293">
        <v>5</v>
      </c>
      <c r="G29" s="293"/>
      <c r="H29" s="293"/>
    </row>
    <row r="30" spans="1:14" s="294" customFormat="1" ht="30" customHeight="1" x14ac:dyDescent="0.55000000000000004">
      <c r="A30" s="513"/>
      <c r="B30" s="515"/>
      <c r="C30" s="517"/>
      <c r="D30" s="295" t="s">
        <v>391</v>
      </c>
      <c r="E30" s="523"/>
      <c r="F30" s="297">
        <v>10</v>
      </c>
      <c r="G30" s="297"/>
      <c r="H30" s="297"/>
    </row>
    <row r="31" spans="1:14" s="294" customFormat="1" ht="30" customHeight="1" x14ac:dyDescent="0.55000000000000004">
      <c r="A31" s="513"/>
      <c r="B31" s="526"/>
      <c r="C31" s="527"/>
      <c r="D31" s="301" t="s">
        <v>392</v>
      </c>
      <c r="E31" s="524"/>
      <c r="F31" s="303">
        <v>15</v>
      </c>
      <c r="G31" s="303"/>
      <c r="H31" s="303"/>
    </row>
    <row r="32" spans="1:14" s="369" customFormat="1" ht="38.1" customHeight="1" x14ac:dyDescent="0.55000000000000004">
      <c r="A32" s="532" t="s">
        <v>393</v>
      </c>
      <c r="B32" s="533" t="s">
        <v>203</v>
      </c>
      <c r="C32" s="503">
        <v>6</v>
      </c>
      <c r="D32" s="292" t="s">
        <v>394</v>
      </c>
      <c r="E32" s="505" t="s">
        <v>247</v>
      </c>
      <c r="F32" s="293">
        <v>5</v>
      </c>
      <c r="G32" s="293"/>
      <c r="H32" s="293"/>
    </row>
    <row r="33" spans="1:8" s="369" customFormat="1" ht="38.1" customHeight="1" x14ac:dyDescent="0.55000000000000004">
      <c r="A33" s="532"/>
      <c r="B33" s="534"/>
      <c r="C33" s="504"/>
      <c r="D33" s="301" t="s">
        <v>395</v>
      </c>
      <c r="E33" s="506"/>
      <c r="F33" s="303">
        <v>10</v>
      </c>
      <c r="G33" s="303"/>
      <c r="H33" s="303"/>
    </row>
    <row r="34" spans="1:8" ht="30" customHeight="1" x14ac:dyDescent="0.55000000000000004">
      <c r="A34" s="538" t="s">
        <v>215</v>
      </c>
      <c r="B34" s="540" t="s">
        <v>403</v>
      </c>
      <c r="C34" s="541"/>
      <c r="D34" s="541"/>
      <c r="E34" s="358"/>
      <c r="F34" s="379" t="s">
        <v>112</v>
      </c>
      <c r="G34" s="379"/>
      <c r="H34" s="379"/>
    </row>
    <row r="35" spans="1:8" ht="30" customHeight="1" x14ac:dyDescent="0.55000000000000004">
      <c r="A35" s="539"/>
      <c r="B35" s="542"/>
      <c r="C35" s="543"/>
      <c r="D35" s="543"/>
      <c r="E35" s="196"/>
      <c r="F35" s="380">
        <f>SUM(F36:F52,F55,F56:F64)</f>
        <v>450</v>
      </c>
      <c r="G35" s="380"/>
      <c r="H35" s="380"/>
    </row>
    <row r="36" spans="1:8" ht="47.1" customHeight="1" x14ac:dyDescent="0.55000000000000004">
      <c r="A36" s="544" t="s">
        <v>250</v>
      </c>
      <c r="B36" s="298" t="s">
        <v>203</v>
      </c>
      <c r="C36" s="368">
        <v>7</v>
      </c>
      <c r="D36" s="448" t="s">
        <v>448</v>
      </c>
      <c r="E36" s="298"/>
      <c r="F36" s="293">
        <v>5</v>
      </c>
      <c r="G36" s="293"/>
      <c r="H36" s="293"/>
    </row>
    <row r="37" spans="1:8" ht="35.1" customHeight="1" x14ac:dyDescent="0.55000000000000004">
      <c r="A37" s="545"/>
      <c r="B37" s="304" t="s">
        <v>203</v>
      </c>
      <c r="C37" s="367">
        <v>8</v>
      </c>
      <c r="D37" s="295" t="s">
        <v>404</v>
      </c>
      <c r="E37" s="304"/>
      <c r="F37" s="297">
        <v>5</v>
      </c>
      <c r="G37" s="297"/>
      <c r="H37" s="297"/>
    </row>
    <row r="38" spans="1:8" ht="35.1" customHeight="1" x14ac:dyDescent="0.55000000000000004">
      <c r="A38" s="546"/>
      <c r="B38" s="300" t="s">
        <v>203</v>
      </c>
      <c r="C38" s="330">
        <v>9</v>
      </c>
      <c r="D38" s="301" t="s">
        <v>350</v>
      </c>
      <c r="E38" s="300"/>
      <c r="F38" s="303">
        <v>5</v>
      </c>
      <c r="G38" s="303"/>
      <c r="H38" s="303"/>
    </row>
    <row r="39" spans="1:8" ht="35.1" customHeight="1" x14ac:dyDescent="0.55000000000000004">
      <c r="A39" s="544" t="s">
        <v>251</v>
      </c>
      <c r="B39" s="298" t="s">
        <v>203</v>
      </c>
      <c r="C39" s="368">
        <v>10</v>
      </c>
      <c r="D39" s="292" t="s">
        <v>117</v>
      </c>
      <c r="E39" s="298"/>
      <c r="F39" s="293">
        <v>5</v>
      </c>
      <c r="G39" s="293"/>
      <c r="H39" s="293"/>
    </row>
    <row r="40" spans="1:8" ht="50.1" customHeight="1" x14ac:dyDescent="0.55000000000000004">
      <c r="A40" s="545"/>
      <c r="B40" s="304" t="s">
        <v>203</v>
      </c>
      <c r="C40" s="367">
        <v>11</v>
      </c>
      <c r="D40" s="295" t="s">
        <v>405</v>
      </c>
      <c r="E40" s="304"/>
      <c r="F40" s="297">
        <v>5</v>
      </c>
      <c r="G40" s="297"/>
      <c r="H40" s="297"/>
    </row>
    <row r="41" spans="1:8" ht="50.1" customHeight="1" x14ac:dyDescent="0.55000000000000004">
      <c r="A41" s="546"/>
      <c r="B41" s="300" t="s">
        <v>203</v>
      </c>
      <c r="C41" s="330">
        <v>12</v>
      </c>
      <c r="D41" s="301" t="s">
        <v>406</v>
      </c>
      <c r="E41" s="300"/>
      <c r="F41" s="303">
        <v>5</v>
      </c>
      <c r="G41" s="303"/>
      <c r="H41" s="303"/>
    </row>
    <row r="42" spans="1:8" ht="35.1" customHeight="1" x14ac:dyDescent="0.55000000000000004">
      <c r="A42" s="535" t="s">
        <v>407</v>
      </c>
      <c r="B42" s="298" t="s">
        <v>203</v>
      </c>
      <c r="C42" s="368">
        <v>13</v>
      </c>
      <c r="D42" s="327" t="s">
        <v>408</v>
      </c>
      <c r="E42" s="381"/>
      <c r="F42" s="293">
        <v>15</v>
      </c>
      <c r="G42" s="293"/>
      <c r="H42" s="293"/>
    </row>
    <row r="43" spans="1:8" ht="26.1" customHeight="1" x14ac:dyDescent="0.55000000000000004">
      <c r="A43" s="536"/>
      <c r="B43" s="304" t="s">
        <v>203</v>
      </c>
      <c r="C43" s="367">
        <v>14</v>
      </c>
      <c r="D43" s="333" t="s">
        <v>319</v>
      </c>
      <c r="E43" s="382"/>
      <c r="F43" s="297">
        <v>15</v>
      </c>
      <c r="G43" s="297"/>
      <c r="H43" s="297"/>
    </row>
    <row r="44" spans="1:8" ht="35.1" customHeight="1" x14ac:dyDescent="0.55000000000000004">
      <c r="A44" s="536"/>
      <c r="B44" s="304" t="s">
        <v>203</v>
      </c>
      <c r="C44" s="367">
        <v>15</v>
      </c>
      <c r="D44" s="324" t="s">
        <v>409</v>
      </c>
      <c r="E44" s="382"/>
      <c r="F44" s="297">
        <v>15</v>
      </c>
      <c r="G44" s="297"/>
      <c r="H44" s="297"/>
    </row>
    <row r="45" spans="1:8" s="267" customFormat="1" ht="35.1" customHeight="1" x14ac:dyDescent="0.55000000000000004">
      <c r="A45" s="536"/>
      <c r="B45" s="383" t="s">
        <v>203</v>
      </c>
      <c r="C45" s="321">
        <v>16</v>
      </c>
      <c r="D45" s="321" t="s">
        <v>410</v>
      </c>
      <c r="E45" s="383"/>
      <c r="F45" s="297">
        <v>15</v>
      </c>
      <c r="G45" s="297"/>
      <c r="H45" s="297"/>
    </row>
    <row r="46" spans="1:8" ht="25" customHeight="1" x14ac:dyDescent="0.55000000000000004">
      <c r="A46" s="537"/>
      <c r="B46" s="300" t="s">
        <v>203</v>
      </c>
      <c r="C46" s="330">
        <v>17</v>
      </c>
      <c r="D46" s="331" t="s">
        <v>320</v>
      </c>
      <c r="E46" s="384"/>
      <c r="F46" s="303">
        <v>10</v>
      </c>
      <c r="G46" s="303"/>
      <c r="H46" s="303"/>
    </row>
    <row r="47" spans="1:8" ht="50.1" customHeight="1" x14ac:dyDescent="0.55000000000000004">
      <c r="A47" s="544" t="s">
        <v>411</v>
      </c>
      <c r="B47" s="298" t="s">
        <v>203</v>
      </c>
      <c r="C47" s="368">
        <v>18</v>
      </c>
      <c r="D47" s="448" t="s">
        <v>449</v>
      </c>
      <c r="E47" s="385"/>
      <c r="F47" s="293">
        <v>30</v>
      </c>
      <c r="G47" s="293"/>
      <c r="H47" s="293"/>
    </row>
    <row r="48" spans="1:8" ht="78.75" customHeight="1" x14ac:dyDescent="0.55000000000000004">
      <c r="A48" s="545"/>
      <c r="B48" s="304" t="s">
        <v>203</v>
      </c>
      <c r="C48" s="367">
        <v>19</v>
      </c>
      <c r="D48" s="449" t="s">
        <v>450</v>
      </c>
      <c r="E48" s="386"/>
      <c r="F48" s="297">
        <v>20</v>
      </c>
      <c r="G48" s="297"/>
      <c r="H48" s="297"/>
    </row>
    <row r="49" spans="1:8" ht="130" customHeight="1" x14ac:dyDescent="0.55000000000000004">
      <c r="A49" s="546"/>
      <c r="B49" s="300" t="s">
        <v>203</v>
      </c>
      <c r="C49" s="330">
        <v>20</v>
      </c>
      <c r="D49" s="325" t="s">
        <v>451</v>
      </c>
      <c r="E49" s="387"/>
      <c r="F49" s="351">
        <v>30</v>
      </c>
      <c r="G49" s="351"/>
      <c r="H49" s="351"/>
    </row>
    <row r="50" spans="1:8" ht="35.1" customHeight="1" x14ac:dyDescent="0.55000000000000004">
      <c r="A50" s="547" t="s">
        <v>412</v>
      </c>
      <c r="B50" s="298" t="s">
        <v>203</v>
      </c>
      <c r="C50" s="368">
        <v>21</v>
      </c>
      <c r="D50" s="327" t="s">
        <v>328</v>
      </c>
      <c r="E50" s="381"/>
      <c r="F50" s="293">
        <v>10</v>
      </c>
      <c r="G50" s="293"/>
      <c r="H50" s="293"/>
    </row>
    <row r="51" spans="1:8" ht="52" customHeight="1" x14ac:dyDescent="0.55000000000000004">
      <c r="A51" s="548"/>
      <c r="B51" s="304" t="s">
        <v>203</v>
      </c>
      <c r="C51" s="367">
        <v>22</v>
      </c>
      <c r="D51" s="324" t="s">
        <v>413</v>
      </c>
      <c r="E51" s="382"/>
      <c r="F51" s="297">
        <v>10</v>
      </c>
      <c r="G51" s="297"/>
      <c r="H51" s="297"/>
    </row>
    <row r="52" spans="1:8" s="267" customFormat="1" ht="50.1" customHeight="1" x14ac:dyDescent="0.55000000000000004">
      <c r="A52" s="549"/>
      <c r="B52" s="300" t="s">
        <v>203</v>
      </c>
      <c r="C52" s="330">
        <v>23</v>
      </c>
      <c r="D52" s="325" t="s">
        <v>414</v>
      </c>
      <c r="E52" s="384"/>
      <c r="F52" s="303">
        <v>10</v>
      </c>
      <c r="G52" s="303"/>
      <c r="H52" s="303"/>
    </row>
    <row r="53" spans="1:8" ht="38.1" customHeight="1" x14ac:dyDescent="0.55000000000000004">
      <c r="A53" s="535" t="s">
        <v>335</v>
      </c>
      <c r="B53" s="550" t="s">
        <v>203</v>
      </c>
      <c r="C53" s="553">
        <v>24</v>
      </c>
      <c r="D53" s="292" t="s">
        <v>133</v>
      </c>
      <c r="E53" s="529" t="s">
        <v>415</v>
      </c>
      <c r="F53" s="293">
        <v>5</v>
      </c>
      <c r="G53" s="293"/>
      <c r="H53" s="293"/>
    </row>
    <row r="54" spans="1:8" ht="35.1" customHeight="1" x14ac:dyDescent="0.55000000000000004">
      <c r="A54" s="536"/>
      <c r="B54" s="551"/>
      <c r="C54" s="521"/>
      <c r="D54" s="295" t="s">
        <v>134</v>
      </c>
      <c r="E54" s="530"/>
      <c r="F54" s="297">
        <v>10</v>
      </c>
      <c r="G54" s="297"/>
      <c r="H54" s="297"/>
    </row>
    <row r="55" spans="1:8" ht="50.1" customHeight="1" x14ac:dyDescent="0.55000000000000004">
      <c r="A55" s="537"/>
      <c r="B55" s="552"/>
      <c r="C55" s="522"/>
      <c r="D55" s="301" t="s">
        <v>331</v>
      </c>
      <c r="E55" s="531"/>
      <c r="F55" s="303">
        <v>20</v>
      </c>
      <c r="G55" s="303"/>
      <c r="H55" s="303"/>
    </row>
    <row r="56" spans="1:8" ht="70" customHeight="1" x14ac:dyDescent="0.55000000000000004">
      <c r="A56" s="535" t="s">
        <v>336</v>
      </c>
      <c r="B56" s="298" t="s">
        <v>203</v>
      </c>
      <c r="C56" s="368">
        <v>25</v>
      </c>
      <c r="D56" s="448" t="s">
        <v>452</v>
      </c>
      <c r="E56" s="385"/>
      <c r="F56" s="350">
        <v>30</v>
      </c>
      <c r="G56" s="350"/>
      <c r="H56" s="350"/>
    </row>
    <row r="57" spans="1:8" ht="100" customHeight="1" x14ac:dyDescent="0.55000000000000004">
      <c r="A57" s="537"/>
      <c r="B57" s="300" t="s">
        <v>203</v>
      </c>
      <c r="C57" s="330">
        <v>26</v>
      </c>
      <c r="D57" s="450" t="s">
        <v>453</v>
      </c>
      <c r="E57" s="387"/>
      <c r="F57" s="351">
        <v>30</v>
      </c>
      <c r="G57" s="351"/>
      <c r="H57" s="351"/>
    </row>
    <row r="58" spans="1:8" ht="65.099999999999994" customHeight="1" x14ac:dyDescent="0.55000000000000004">
      <c r="A58" s="535" t="s">
        <v>337</v>
      </c>
      <c r="B58" s="298" t="s">
        <v>203</v>
      </c>
      <c r="C58" s="368">
        <v>27</v>
      </c>
      <c r="D58" s="448" t="s">
        <v>454</v>
      </c>
      <c r="E58" s="385"/>
      <c r="F58" s="293">
        <v>20</v>
      </c>
      <c r="G58" s="293"/>
      <c r="H58" s="293"/>
    </row>
    <row r="59" spans="1:8" ht="65.099999999999994" customHeight="1" x14ac:dyDescent="0.55000000000000004">
      <c r="A59" s="536"/>
      <c r="B59" s="304" t="s">
        <v>203</v>
      </c>
      <c r="C59" s="367">
        <v>28</v>
      </c>
      <c r="D59" s="449" t="s">
        <v>455</v>
      </c>
      <c r="E59" s="386"/>
      <c r="F59" s="297">
        <v>20</v>
      </c>
      <c r="G59" s="297"/>
      <c r="H59" s="297"/>
    </row>
    <row r="60" spans="1:8" ht="65.099999999999994" customHeight="1" x14ac:dyDescent="0.55000000000000004">
      <c r="A60" s="537"/>
      <c r="B60" s="300" t="s">
        <v>203</v>
      </c>
      <c r="C60" s="330">
        <v>29</v>
      </c>
      <c r="D60" s="325" t="s">
        <v>456</v>
      </c>
      <c r="E60" s="387"/>
      <c r="F60" s="303">
        <v>20</v>
      </c>
      <c r="G60" s="303"/>
      <c r="H60" s="303"/>
    </row>
    <row r="61" spans="1:8" ht="85" customHeight="1" x14ac:dyDescent="0.55000000000000004">
      <c r="A61" s="323" t="s">
        <v>416</v>
      </c>
      <c r="B61" s="388" t="s">
        <v>203</v>
      </c>
      <c r="C61" s="389">
        <v>30</v>
      </c>
      <c r="D61" s="390" t="s">
        <v>457</v>
      </c>
      <c r="E61" s="391"/>
      <c r="F61" s="392">
        <v>20</v>
      </c>
      <c r="G61" s="392"/>
      <c r="H61" s="392"/>
    </row>
    <row r="62" spans="1:8" ht="85" customHeight="1" x14ac:dyDescent="0.55000000000000004">
      <c r="A62" s="535" t="s">
        <v>339</v>
      </c>
      <c r="B62" s="298" t="s">
        <v>203</v>
      </c>
      <c r="C62" s="368">
        <v>31</v>
      </c>
      <c r="D62" s="357" t="s">
        <v>458</v>
      </c>
      <c r="E62" s="385"/>
      <c r="F62" s="293">
        <v>40</v>
      </c>
      <c r="G62" s="293"/>
      <c r="H62" s="293"/>
    </row>
    <row r="63" spans="1:8" ht="50.1" customHeight="1" x14ac:dyDescent="0.55000000000000004">
      <c r="A63" s="536"/>
      <c r="B63" s="304" t="s">
        <v>203</v>
      </c>
      <c r="C63" s="367">
        <v>32</v>
      </c>
      <c r="D63" s="321" t="s">
        <v>417</v>
      </c>
      <c r="E63" s="386"/>
      <c r="F63" s="297">
        <v>20</v>
      </c>
      <c r="G63" s="297"/>
      <c r="H63" s="297"/>
    </row>
    <row r="64" spans="1:8" ht="30" customHeight="1" x14ac:dyDescent="0.55000000000000004">
      <c r="A64" s="537"/>
      <c r="B64" s="300" t="s">
        <v>203</v>
      </c>
      <c r="C64" s="330">
        <v>33</v>
      </c>
      <c r="D64" s="322" t="s">
        <v>324</v>
      </c>
      <c r="E64" s="387"/>
      <c r="F64" s="303">
        <v>20</v>
      </c>
      <c r="G64" s="303"/>
      <c r="H64" s="303"/>
    </row>
    <row r="65" spans="1:17" ht="30" customHeight="1" x14ac:dyDescent="0.55000000000000004">
      <c r="A65" s="554" t="s">
        <v>232</v>
      </c>
      <c r="B65" s="556" t="s">
        <v>418</v>
      </c>
      <c r="C65" s="557"/>
      <c r="D65" s="557"/>
      <c r="E65" s="306"/>
      <c r="F65" s="307" t="s">
        <v>61</v>
      </c>
      <c r="G65" s="307"/>
      <c r="H65" s="307"/>
    </row>
    <row r="66" spans="1:17" ht="30" customHeight="1" x14ac:dyDescent="0.55000000000000004">
      <c r="A66" s="555"/>
      <c r="B66" s="558"/>
      <c r="C66" s="559"/>
      <c r="D66" s="559"/>
      <c r="E66" s="197"/>
      <c r="F66" s="393">
        <f>SUM(F67:F74,F77,F78:F80)</f>
        <v>120</v>
      </c>
      <c r="G66" s="393"/>
      <c r="H66" s="393"/>
    </row>
    <row r="67" spans="1:17" ht="52" customHeight="1" x14ac:dyDescent="0.55000000000000004">
      <c r="A67" s="560" t="s">
        <v>340</v>
      </c>
      <c r="B67" s="298" t="s">
        <v>203</v>
      </c>
      <c r="C67" s="368">
        <v>34</v>
      </c>
      <c r="D67" s="292" t="s">
        <v>419</v>
      </c>
      <c r="E67" s="298"/>
      <c r="F67" s="394">
        <v>10</v>
      </c>
      <c r="G67" s="394"/>
      <c r="H67" s="394"/>
      <c r="I67" s="334"/>
      <c r="J67" s="334"/>
      <c r="K67" s="334"/>
      <c r="L67" s="334"/>
      <c r="M67" s="334"/>
      <c r="N67" s="334"/>
    </row>
    <row r="68" spans="1:17" ht="38.1" customHeight="1" x14ac:dyDescent="0.55000000000000004">
      <c r="A68" s="561"/>
      <c r="B68" s="304" t="s">
        <v>203</v>
      </c>
      <c r="C68" s="367">
        <v>35</v>
      </c>
      <c r="D68" s="295" t="s">
        <v>154</v>
      </c>
      <c r="E68" s="304"/>
      <c r="F68" s="396">
        <v>10</v>
      </c>
      <c r="G68" s="396"/>
      <c r="H68" s="396"/>
      <c r="I68" s="397"/>
    </row>
    <row r="69" spans="1:17" ht="38.1" customHeight="1" x14ac:dyDescent="0.55000000000000004">
      <c r="A69" s="561"/>
      <c r="B69" s="304" t="s">
        <v>203</v>
      </c>
      <c r="C69" s="367">
        <v>36</v>
      </c>
      <c r="D69" s="295" t="s">
        <v>153</v>
      </c>
      <c r="E69" s="304"/>
      <c r="F69" s="396">
        <v>10</v>
      </c>
      <c r="G69" s="396"/>
      <c r="H69" s="396"/>
      <c r="I69" s="397"/>
    </row>
    <row r="70" spans="1:17" ht="65.099999999999994" customHeight="1" x14ac:dyDescent="0.55000000000000004">
      <c r="A70" s="561"/>
      <c r="B70" s="304" t="s">
        <v>203</v>
      </c>
      <c r="C70" s="367">
        <v>37</v>
      </c>
      <c r="D70" s="295" t="s">
        <v>420</v>
      </c>
      <c r="E70" s="304"/>
      <c r="F70" s="398">
        <v>10</v>
      </c>
      <c r="G70" s="398"/>
      <c r="H70" s="398"/>
      <c r="I70" s="397"/>
    </row>
    <row r="71" spans="1:17" ht="38.1" customHeight="1" x14ac:dyDescent="0.55000000000000004">
      <c r="A71" s="561"/>
      <c r="B71" s="304" t="s">
        <v>203</v>
      </c>
      <c r="C71" s="367">
        <v>38</v>
      </c>
      <c r="D71" s="295" t="s">
        <v>158</v>
      </c>
      <c r="E71" s="304"/>
      <c r="F71" s="398">
        <v>5</v>
      </c>
      <c r="G71" s="398"/>
      <c r="H71" s="398"/>
      <c r="I71" s="397"/>
    </row>
    <row r="72" spans="1:17" ht="38.1" customHeight="1" x14ac:dyDescent="0.55000000000000004">
      <c r="A72" s="562"/>
      <c r="B72" s="300" t="s">
        <v>203</v>
      </c>
      <c r="C72" s="330">
        <v>39</v>
      </c>
      <c r="D72" s="301" t="s">
        <v>155</v>
      </c>
      <c r="E72" s="300"/>
      <c r="F72" s="400">
        <v>5</v>
      </c>
      <c r="G72" s="400"/>
      <c r="H72" s="400"/>
      <c r="I72" s="397"/>
    </row>
    <row r="73" spans="1:17" ht="38.1" customHeight="1" x14ac:dyDescent="0.55000000000000004">
      <c r="A73" s="560" t="s">
        <v>341</v>
      </c>
      <c r="B73" s="298" t="s">
        <v>203</v>
      </c>
      <c r="C73" s="368">
        <v>40</v>
      </c>
      <c r="D73" s="292" t="s">
        <v>156</v>
      </c>
      <c r="E73" s="298"/>
      <c r="F73" s="394">
        <v>10</v>
      </c>
      <c r="G73" s="394"/>
      <c r="H73" s="394"/>
    </row>
    <row r="74" spans="1:17" ht="38.1" customHeight="1" x14ac:dyDescent="0.55000000000000004">
      <c r="A74" s="561"/>
      <c r="B74" s="304" t="s">
        <v>203</v>
      </c>
      <c r="C74" s="367">
        <v>41</v>
      </c>
      <c r="D74" s="295" t="s">
        <v>159</v>
      </c>
      <c r="E74" s="304"/>
      <c r="F74" s="396">
        <v>10</v>
      </c>
      <c r="G74" s="396"/>
      <c r="H74" s="396"/>
    </row>
    <row r="75" spans="1:17" ht="30" customHeight="1" x14ac:dyDescent="0.55000000000000004">
      <c r="A75" s="561"/>
      <c r="B75" s="304" t="s">
        <v>203</v>
      </c>
      <c r="C75" s="367">
        <v>42</v>
      </c>
      <c r="D75" s="295" t="s">
        <v>160</v>
      </c>
      <c r="E75" s="566" t="s">
        <v>421</v>
      </c>
      <c r="F75" s="396">
        <v>10</v>
      </c>
      <c r="G75" s="396"/>
      <c r="H75" s="396"/>
    </row>
    <row r="76" spans="1:17" ht="50.1" customHeight="1" x14ac:dyDescent="0.55000000000000004">
      <c r="A76" s="561"/>
      <c r="B76" s="304" t="s">
        <v>203</v>
      </c>
      <c r="C76" s="367">
        <v>43</v>
      </c>
      <c r="D76" s="295" t="s">
        <v>422</v>
      </c>
      <c r="E76" s="566"/>
      <c r="F76" s="396">
        <v>15</v>
      </c>
      <c r="G76" s="396"/>
      <c r="H76" s="396"/>
    </row>
    <row r="77" spans="1:17" ht="38.1" customHeight="1" x14ac:dyDescent="0.55000000000000004">
      <c r="A77" s="562"/>
      <c r="B77" s="300" t="s">
        <v>203</v>
      </c>
      <c r="C77" s="330">
        <v>44</v>
      </c>
      <c r="D77" s="301" t="s">
        <v>423</v>
      </c>
      <c r="E77" s="567"/>
      <c r="F77" s="402">
        <v>20</v>
      </c>
      <c r="G77" s="402"/>
      <c r="H77" s="402"/>
    </row>
    <row r="78" spans="1:17" ht="38.1" customHeight="1" x14ac:dyDescent="0.55000000000000004">
      <c r="A78" s="560" t="s">
        <v>342</v>
      </c>
      <c r="B78" s="298" t="s">
        <v>203</v>
      </c>
      <c r="C78" s="403">
        <v>45</v>
      </c>
      <c r="D78" s="292" t="s">
        <v>162</v>
      </c>
      <c r="E78" s="298"/>
      <c r="F78" s="394">
        <v>10</v>
      </c>
      <c r="G78" s="394"/>
      <c r="H78" s="394"/>
      <c r="N78" s="334"/>
      <c r="O78" s="334"/>
      <c r="P78" s="334"/>
      <c r="Q78" s="334"/>
    </row>
    <row r="79" spans="1:17" ht="38.1" customHeight="1" x14ac:dyDescent="0.55000000000000004">
      <c r="A79" s="561"/>
      <c r="B79" s="304" t="s">
        <v>203</v>
      </c>
      <c r="C79" s="404">
        <v>46</v>
      </c>
      <c r="D79" s="295" t="s">
        <v>424</v>
      </c>
      <c r="E79" s="304"/>
      <c r="F79" s="396">
        <v>10</v>
      </c>
      <c r="G79" s="396"/>
      <c r="H79" s="396"/>
      <c r="I79" s="405"/>
      <c r="J79" s="405"/>
      <c r="K79" s="405"/>
      <c r="L79" s="405"/>
      <c r="M79" s="405"/>
      <c r="N79" s="334"/>
      <c r="O79" s="334"/>
      <c r="P79" s="334"/>
      <c r="Q79" s="334"/>
    </row>
    <row r="80" spans="1:17" ht="38.1" customHeight="1" x14ac:dyDescent="0.55000000000000004">
      <c r="A80" s="562"/>
      <c r="B80" s="300" t="s">
        <v>203</v>
      </c>
      <c r="C80" s="330">
        <v>47</v>
      </c>
      <c r="D80" s="301" t="s">
        <v>164</v>
      </c>
      <c r="E80" s="300"/>
      <c r="F80" s="402">
        <v>10</v>
      </c>
      <c r="G80" s="402"/>
      <c r="H80" s="402"/>
    </row>
    <row r="81" spans="1:14" ht="30" customHeight="1" x14ac:dyDescent="0.55000000000000004">
      <c r="A81" s="568" t="s">
        <v>238</v>
      </c>
      <c r="B81" s="570" t="s">
        <v>165</v>
      </c>
      <c r="C81" s="571"/>
      <c r="D81" s="571"/>
      <c r="E81" s="247"/>
      <c r="F81" s="308" t="s">
        <v>61</v>
      </c>
      <c r="G81" s="308"/>
      <c r="H81" s="308"/>
    </row>
    <row r="82" spans="1:14" ht="30" customHeight="1" x14ac:dyDescent="0.55000000000000004">
      <c r="A82" s="569"/>
      <c r="B82" s="572"/>
      <c r="C82" s="573"/>
      <c r="D82" s="573"/>
      <c r="E82" s="198"/>
      <c r="F82" s="406">
        <f>SUM(F83:F95)</f>
        <v>100</v>
      </c>
      <c r="G82" s="406"/>
      <c r="H82" s="406"/>
    </row>
    <row r="83" spans="1:14" ht="38.1" customHeight="1" x14ac:dyDescent="0.55000000000000004">
      <c r="A83" s="574" t="s">
        <v>425</v>
      </c>
      <c r="B83" s="298" t="s">
        <v>203</v>
      </c>
      <c r="C83" s="368">
        <v>48</v>
      </c>
      <c r="D83" s="327" t="s">
        <v>332</v>
      </c>
      <c r="E83" s="298"/>
      <c r="F83" s="350">
        <v>5</v>
      </c>
      <c r="G83" s="350"/>
      <c r="H83" s="350"/>
    </row>
    <row r="84" spans="1:14" ht="30" customHeight="1" x14ac:dyDescent="0.55000000000000004">
      <c r="A84" s="575"/>
      <c r="B84" s="304" t="s">
        <v>203</v>
      </c>
      <c r="C84" s="367">
        <v>49</v>
      </c>
      <c r="D84" s="324" t="s">
        <v>426</v>
      </c>
      <c r="E84" s="304"/>
      <c r="F84" s="356">
        <v>5</v>
      </c>
      <c r="G84" s="356"/>
      <c r="H84" s="356"/>
    </row>
    <row r="85" spans="1:14" ht="40" customHeight="1" x14ac:dyDescent="0.55000000000000004">
      <c r="A85" s="575"/>
      <c r="B85" s="304" t="s">
        <v>203</v>
      </c>
      <c r="C85" s="367">
        <v>50</v>
      </c>
      <c r="D85" s="324" t="s">
        <v>427</v>
      </c>
      <c r="E85" s="304"/>
      <c r="F85" s="297">
        <v>10</v>
      </c>
      <c r="G85" s="297"/>
      <c r="H85" s="313"/>
      <c r="N85" s="334"/>
    </row>
    <row r="86" spans="1:14" ht="38.1" customHeight="1" x14ac:dyDescent="0.55000000000000004">
      <c r="A86" s="576"/>
      <c r="B86" s="329" t="s">
        <v>203</v>
      </c>
      <c r="C86" s="366">
        <v>51</v>
      </c>
      <c r="D86" s="319" t="s">
        <v>189</v>
      </c>
      <c r="E86" s="329"/>
      <c r="F86" s="407">
        <v>10</v>
      </c>
      <c r="G86" s="407"/>
      <c r="H86" s="407"/>
      <c r="N86" s="334"/>
    </row>
    <row r="87" spans="1:14" ht="38.1" customHeight="1" x14ac:dyDescent="0.55000000000000004">
      <c r="A87" s="577" t="s">
        <v>343</v>
      </c>
      <c r="B87" s="298" t="s">
        <v>203</v>
      </c>
      <c r="C87" s="368">
        <v>52</v>
      </c>
      <c r="D87" s="292" t="s">
        <v>193</v>
      </c>
      <c r="E87" s="298"/>
      <c r="F87" s="293">
        <v>10</v>
      </c>
      <c r="G87" s="293"/>
      <c r="H87" s="293"/>
    </row>
    <row r="88" spans="1:14" ht="38.1" customHeight="1" x14ac:dyDescent="0.55000000000000004">
      <c r="A88" s="578"/>
      <c r="B88" s="304" t="s">
        <v>203</v>
      </c>
      <c r="C88" s="367">
        <v>53</v>
      </c>
      <c r="D88" s="295" t="s">
        <v>245</v>
      </c>
      <c r="E88" s="304"/>
      <c r="F88" s="297">
        <v>10</v>
      </c>
      <c r="G88" s="297"/>
      <c r="H88" s="297"/>
    </row>
    <row r="89" spans="1:14" ht="30" customHeight="1" x14ac:dyDescent="0.55000000000000004">
      <c r="A89" s="578"/>
      <c r="B89" s="304" t="s">
        <v>203</v>
      </c>
      <c r="C89" s="367">
        <v>54</v>
      </c>
      <c r="D89" s="295" t="s">
        <v>195</v>
      </c>
      <c r="E89" s="304"/>
      <c r="F89" s="297">
        <v>10</v>
      </c>
      <c r="G89" s="297"/>
      <c r="H89" s="297"/>
    </row>
    <row r="90" spans="1:14" ht="30" customHeight="1" x14ac:dyDescent="0.55000000000000004">
      <c r="A90" s="579"/>
      <c r="B90" s="300" t="s">
        <v>203</v>
      </c>
      <c r="C90" s="330">
        <v>55</v>
      </c>
      <c r="D90" s="301" t="s">
        <v>196</v>
      </c>
      <c r="E90" s="300"/>
      <c r="F90" s="303">
        <v>10</v>
      </c>
      <c r="G90" s="303"/>
      <c r="H90" s="303"/>
    </row>
    <row r="91" spans="1:14" ht="38.1" customHeight="1" x14ac:dyDescent="0.55000000000000004">
      <c r="A91" s="577" t="s">
        <v>344</v>
      </c>
      <c r="B91" s="298" t="s">
        <v>203</v>
      </c>
      <c r="C91" s="368">
        <v>56</v>
      </c>
      <c r="D91" s="327" t="s">
        <v>428</v>
      </c>
      <c r="E91" s="298"/>
      <c r="F91" s="293">
        <v>5</v>
      </c>
      <c r="G91" s="293"/>
      <c r="H91" s="293"/>
    </row>
    <row r="92" spans="1:14" ht="30" customHeight="1" x14ac:dyDescent="0.55000000000000004">
      <c r="A92" s="580"/>
      <c r="B92" s="304" t="s">
        <v>203</v>
      </c>
      <c r="C92" s="367">
        <v>57</v>
      </c>
      <c r="D92" s="295" t="s">
        <v>198</v>
      </c>
      <c r="E92" s="304"/>
      <c r="F92" s="297">
        <v>5</v>
      </c>
      <c r="G92" s="297"/>
      <c r="H92" s="297"/>
    </row>
    <row r="93" spans="1:14" ht="50.1" customHeight="1" x14ac:dyDescent="0.55000000000000004">
      <c r="A93" s="580"/>
      <c r="B93" s="304" t="s">
        <v>203</v>
      </c>
      <c r="C93" s="367">
        <v>58</v>
      </c>
      <c r="D93" s="295" t="s">
        <v>199</v>
      </c>
      <c r="E93" s="304"/>
      <c r="F93" s="297">
        <v>10</v>
      </c>
      <c r="G93" s="297"/>
      <c r="H93" s="297"/>
    </row>
    <row r="94" spans="1:14" ht="38.1" customHeight="1" x14ac:dyDescent="0.55000000000000004">
      <c r="A94" s="580"/>
      <c r="B94" s="304" t="s">
        <v>203</v>
      </c>
      <c r="C94" s="409">
        <v>59</v>
      </c>
      <c r="D94" s="295" t="s">
        <v>200</v>
      </c>
      <c r="E94" s="304"/>
      <c r="F94" s="297">
        <v>5</v>
      </c>
      <c r="G94" s="297"/>
      <c r="H94" s="297"/>
    </row>
    <row r="95" spans="1:14" ht="38.1" customHeight="1" x14ac:dyDescent="0.55000000000000004">
      <c r="A95" s="581"/>
      <c r="B95" s="300" t="s">
        <v>203</v>
      </c>
      <c r="C95" s="410">
        <v>60</v>
      </c>
      <c r="D95" s="301" t="s">
        <v>201</v>
      </c>
      <c r="E95" s="300"/>
      <c r="F95" s="303">
        <v>5</v>
      </c>
      <c r="G95" s="303"/>
      <c r="H95" s="303"/>
    </row>
    <row r="96" spans="1:14" ht="30" customHeight="1" x14ac:dyDescent="0.55000000000000004">
      <c r="A96" s="582" t="s">
        <v>243</v>
      </c>
      <c r="B96" s="584" t="s">
        <v>429</v>
      </c>
      <c r="C96" s="585"/>
      <c r="D96" s="585"/>
      <c r="E96" s="309"/>
      <c r="F96" s="310" t="s">
        <v>61</v>
      </c>
      <c r="G96" s="310"/>
      <c r="H96" s="310"/>
    </row>
    <row r="97" spans="1:8" ht="30" customHeight="1" x14ac:dyDescent="0.55000000000000004">
      <c r="A97" s="583"/>
      <c r="B97" s="586"/>
      <c r="C97" s="587"/>
      <c r="D97" s="587"/>
      <c r="E97" s="311"/>
      <c r="F97" s="411">
        <f>SUM(F98:F107,F114)</f>
        <v>150</v>
      </c>
      <c r="G97" s="411"/>
      <c r="H97" s="411"/>
    </row>
    <row r="98" spans="1:8" ht="38.1" customHeight="1" x14ac:dyDescent="0.55000000000000004">
      <c r="A98" s="588" t="s">
        <v>345</v>
      </c>
      <c r="B98" s="298" t="s">
        <v>203</v>
      </c>
      <c r="C98" s="368">
        <v>61</v>
      </c>
      <c r="D98" s="292" t="s">
        <v>175</v>
      </c>
      <c r="E98" s="298"/>
      <c r="F98" s="293">
        <v>10</v>
      </c>
      <c r="G98" s="293"/>
      <c r="H98" s="293"/>
    </row>
    <row r="99" spans="1:8" ht="47.25" customHeight="1" x14ac:dyDescent="0.55000000000000004">
      <c r="A99" s="589"/>
      <c r="B99" s="304" t="s">
        <v>203</v>
      </c>
      <c r="C99" s="367">
        <v>62</v>
      </c>
      <c r="D99" s="295" t="s">
        <v>176</v>
      </c>
      <c r="E99" s="304"/>
      <c r="F99" s="297">
        <v>10</v>
      </c>
      <c r="G99" s="297"/>
      <c r="H99" s="297"/>
    </row>
    <row r="100" spans="1:8" ht="50.1" customHeight="1" x14ac:dyDescent="0.55000000000000004">
      <c r="A100" s="589"/>
      <c r="B100" s="304" t="s">
        <v>203</v>
      </c>
      <c r="C100" s="367">
        <v>63</v>
      </c>
      <c r="D100" s="295" t="s">
        <v>177</v>
      </c>
      <c r="E100" s="304"/>
      <c r="F100" s="297">
        <v>10</v>
      </c>
      <c r="G100" s="297"/>
      <c r="H100" s="297"/>
    </row>
    <row r="101" spans="1:8" ht="38.1" customHeight="1" x14ac:dyDescent="0.55000000000000004">
      <c r="A101" s="590"/>
      <c r="B101" s="300" t="s">
        <v>203</v>
      </c>
      <c r="C101" s="330">
        <v>64</v>
      </c>
      <c r="D101" s="301" t="s">
        <v>242</v>
      </c>
      <c r="E101" s="300"/>
      <c r="F101" s="303">
        <v>10</v>
      </c>
      <c r="G101" s="303"/>
      <c r="H101" s="303"/>
    </row>
    <row r="102" spans="1:8" ht="38.1" customHeight="1" x14ac:dyDescent="0.55000000000000004">
      <c r="A102" s="563" t="s">
        <v>430</v>
      </c>
      <c r="B102" s="298" t="s">
        <v>203</v>
      </c>
      <c r="C102" s="368">
        <v>65</v>
      </c>
      <c r="D102" s="292" t="s">
        <v>348</v>
      </c>
      <c r="E102" s="298"/>
      <c r="F102" s="293">
        <v>10</v>
      </c>
      <c r="G102" s="293"/>
      <c r="H102" s="293"/>
    </row>
    <row r="103" spans="1:8" ht="30" customHeight="1" x14ac:dyDescent="0.55000000000000004">
      <c r="A103" s="564"/>
      <c r="B103" s="304" t="s">
        <v>203</v>
      </c>
      <c r="C103" s="367">
        <v>66</v>
      </c>
      <c r="D103" s="295" t="s">
        <v>173</v>
      </c>
      <c r="E103" s="304"/>
      <c r="F103" s="297">
        <v>10</v>
      </c>
      <c r="G103" s="297"/>
      <c r="H103" s="297"/>
    </row>
    <row r="104" spans="1:8" ht="38.1" customHeight="1" x14ac:dyDescent="0.55000000000000004">
      <c r="A104" s="565"/>
      <c r="B104" s="300" t="s">
        <v>203</v>
      </c>
      <c r="C104" s="330">
        <v>67</v>
      </c>
      <c r="D104" s="301" t="s">
        <v>174</v>
      </c>
      <c r="E104" s="300"/>
      <c r="F104" s="303">
        <v>10</v>
      </c>
      <c r="G104" s="303"/>
      <c r="H104" s="303"/>
    </row>
    <row r="105" spans="1:8" ht="30" customHeight="1" x14ac:dyDescent="0.55000000000000004">
      <c r="A105" s="563" t="s">
        <v>346</v>
      </c>
      <c r="B105" s="298" t="s">
        <v>203</v>
      </c>
      <c r="C105" s="368">
        <v>68</v>
      </c>
      <c r="D105" s="292" t="s">
        <v>169</v>
      </c>
      <c r="E105" s="298"/>
      <c r="F105" s="293">
        <v>10</v>
      </c>
      <c r="G105" s="293"/>
      <c r="H105" s="293"/>
    </row>
    <row r="106" spans="1:8" ht="38.1" customHeight="1" x14ac:dyDescent="0.55000000000000004">
      <c r="A106" s="564"/>
      <c r="B106" s="304" t="s">
        <v>203</v>
      </c>
      <c r="C106" s="409">
        <v>69</v>
      </c>
      <c r="D106" s="295" t="s">
        <v>431</v>
      </c>
      <c r="E106" s="304"/>
      <c r="F106" s="297">
        <v>10</v>
      </c>
      <c r="G106" s="297"/>
      <c r="H106" s="297"/>
    </row>
    <row r="107" spans="1:8" ht="50.1" customHeight="1" x14ac:dyDescent="0.55000000000000004">
      <c r="A107" s="565"/>
      <c r="B107" s="300" t="s">
        <v>203</v>
      </c>
      <c r="C107" s="410">
        <v>70</v>
      </c>
      <c r="D107" s="301" t="s">
        <v>349</v>
      </c>
      <c r="E107" s="300"/>
      <c r="F107" s="303">
        <v>10</v>
      </c>
      <c r="G107" s="303"/>
      <c r="H107" s="328"/>
    </row>
    <row r="108" spans="1:8" ht="30" customHeight="1" x14ac:dyDescent="0.55000000000000004">
      <c r="A108" s="588" t="s">
        <v>347</v>
      </c>
      <c r="B108" s="550" t="s">
        <v>203</v>
      </c>
      <c r="C108" s="553">
        <v>71</v>
      </c>
      <c r="D108" s="305" t="s">
        <v>58</v>
      </c>
      <c r="E108" s="595" t="s">
        <v>432</v>
      </c>
      <c r="F108" s="293">
        <v>25</v>
      </c>
      <c r="G108" s="293"/>
      <c r="H108" s="293"/>
    </row>
    <row r="109" spans="1:8" ht="30" customHeight="1" x14ac:dyDescent="0.55000000000000004">
      <c r="A109" s="593"/>
      <c r="B109" s="551"/>
      <c r="C109" s="521"/>
      <c r="D109" s="295" t="s">
        <v>59</v>
      </c>
      <c r="E109" s="596"/>
      <c r="F109" s="297">
        <v>10</v>
      </c>
      <c r="G109" s="297"/>
      <c r="H109" s="297"/>
    </row>
    <row r="110" spans="1:8" ht="30" customHeight="1" x14ac:dyDescent="0.55000000000000004">
      <c r="A110" s="593"/>
      <c r="B110" s="551"/>
      <c r="C110" s="521"/>
      <c r="D110" s="295" t="s">
        <v>58</v>
      </c>
      <c r="E110" s="597" t="s">
        <v>433</v>
      </c>
      <c r="F110" s="297">
        <v>35</v>
      </c>
      <c r="G110" s="297"/>
      <c r="H110" s="297"/>
    </row>
    <row r="111" spans="1:8" ht="30" customHeight="1" x14ac:dyDescent="0.55000000000000004">
      <c r="A111" s="593"/>
      <c r="B111" s="551"/>
      <c r="C111" s="521"/>
      <c r="D111" s="295" t="s">
        <v>83</v>
      </c>
      <c r="E111" s="597"/>
      <c r="F111" s="297">
        <v>15</v>
      </c>
      <c r="G111" s="297"/>
      <c r="H111" s="297"/>
    </row>
    <row r="112" spans="1:8" ht="30" customHeight="1" x14ac:dyDescent="0.55000000000000004">
      <c r="A112" s="593"/>
      <c r="B112" s="551"/>
      <c r="C112" s="521"/>
      <c r="D112" s="295" t="s">
        <v>58</v>
      </c>
      <c r="E112" s="597" t="s">
        <v>254</v>
      </c>
      <c r="F112" s="297">
        <v>45</v>
      </c>
      <c r="G112" s="297"/>
      <c r="H112" s="297"/>
    </row>
    <row r="113" spans="1:8" ht="30" customHeight="1" x14ac:dyDescent="0.55000000000000004">
      <c r="A113" s="593"/>
      <c r="B113" s="551"/>
      <c r="C113" s="521"/>
      <c r="D113" s="295" t="s">
        <v>83</v>
      </c>
      <c r="E113" s="597"/>
      <c r="F113" s="297">
        <v>20</v>
      </c>
      <c r="G113" s="297"/>
      <c r="H113" s="297"/>
    </row>
    <row r="114" spans="1:8" ht="30" customHeight="1" x14ac:dyDescent="0.55000000000000004">
      <c r="A114" s="593"/>
      <c r="B114" s="551"/>
      <c r="C114" s="521"/>
      <c r="D114" s="295" t="s">
        <v>58</v>
      </c>
      <c r="E114" s="597" t="s">
        <v>255</v>
      </c>
      <c r="F114" s="313">
        <v>50</v>
      </c>
      <c r="G114" s="313"/>
      <c r="H114" s="313"/>
    </row>
    <row r="115" spans="1:8" ht="30" customHeight="1" x14ac:dyDescent="0.55000000000000004">
      <c r="A115" s="594"/>
      <c r="B115" s="552"/>
      <c r="C115" s="522"/>
      <c r="D115" s="301" t="s">
        <v>83</v>
      </c>
      <c r="E115" s="598"/>
      <c r="F115" s="303">
        <v>25</v>
      </c>
      <c r="G115" s="303"/>
      <c r="H115" s="303"/>
    </row>
    <row r="116" spans="1:8" ht="30" customHeight="1" x14ac:dyDescent="0.4">
      <c r="A116" s="591" t="s">
        <v>434</v>
      </c>
      <c r="B116" s="592"/>
      <c r="C116" s="592"/>
      <c r="D116" s="592"/>
      <c r="E116" s="592"/>
      <c r="F116" s="592"/>
    </row>
    <row r="117" spans="1:8" ht="20.100000000000001" customHeight="1" x14ac:dyDescent="0.55000000000000004">
      <c r="A117" s="190" t="s">
        <v>435</v>
      </c>
    </row>
    <row r="118" spans="1:8" ht="20.100000000000001" customHeight="1" x14ac:dyDescent="0.55000000000000004">
      <c r="A118" s="190" t="s">
        <v>436</v>
      </c>
    </row>
    <row r="119" spans="1:8" ht="20.100000000000001" customHeight="1" x14ac:dyDescent="0.55000000000000004">
      <c r="A119" s="378" t="s">
        <v>437</v>
      </c>
      <c r="E119" s="412" t="s">
        <v>438</v>
      </c>
    </row>
    <row r="120" spans="1:8" ht="20.100000000000001" customHeight="1" x14ac:dyDescent="0.55000000000000004">
      <c r="A120" s="378" t="s">
        <v>439</v>
      </c>
      <c r="E120" s="412" t="s">
        <v>440</v>
      </c>
    </row>
  </sheetData>
  <mergeCells count="76">
    <mergeCell ref="A116:F116"/>
    <mergeCell ref="A108:A115"/>
    <mergeCell ref="B108:B115"/>
    <mergeCell ref="C108:C115"/>
    <mergeCell ref="E108:E109"/>
    <mergeCell ref="E110:E111"/>
    <mergeCell ref="E112:E113"/>
    <mergeCell ref="E114:E115"/>
    <mergeCell ref="A65:A66"/>
    <mergeCell ref="B65:D66"/>
    <mergeCell ref="A67:A72"/>
    <mergeCell ref="A105:A107"/>
    <mergeCell ref="E75:E77"/>
    <mergeCell ref="A78:A80"/>
    <mergeCell ref="A81:A82"/>
    <mergeCell ref="B81:D82"/>
    <mergeCell ref="A83:A86"/>
    <mergeCell ref="A87:A90"/>
    <mergeCell ref="A73:A77"/>
    <mergeCell ref="A91:A95"/>
    <mergeCell ref="A96:A97"/>
    <mergeCell ref="B96:D97"/>
    <mergeCell ref="A98:A101"/>
    <mergeCell ref="A102:A104"/>
    <mergeCell ref="E53:E55"/>
    <mergeCell ref="A32:A33"/>
    <mergeCell ref="B32:B33"/>
    <mergeCell ref="A58:A60"/>
    <mergeCell ref="A62:A64"/>
    <mergeCell ref="A56:A57"/>
    <mergeCell ref="A34:A35"/>
    <mergeCell ref="B34:D35"/>
    <mergeCell ref="A36:A38"/>
    <mergeCell ref="A39:A41"/>
    <mergeCell ref="A42:A46"/>
    <mergeCell ref="A47:A49"/>
    <mergeCell ref="A50:A52"/>
    <mergeCell ref="A53:A55"/>
    <mergeCell ref="B53:B55"/>
    <mergeCell ref="C53:C55"/>
    <mergeCell ref="C32:C33"/>
    <mergeCell ref="E32:E33"/>
    <mergeCell ref="A21:A22"/>
    <mergeCell ref="B21:E22"/>
    <mergeCell ref="A23:A26"/>
    <mergeCell ref="B23:B24"/>
    <mergeCell ref="C23:C24"/>
    <mergeCell ref="E23:E24"/>
    <mergeCell ref="B25:B26"/>
    <mergeCell ref="C25:C26"/>
    <mergeCell ref="E25:E26"/>
    <mergeCell ref="A27:A28"/>
    <mergeCell ref="A29:A31"/>
    <mergeCell ref="B29:B31"/>
    <mergeCell ref="C29:C31"/>
    <mergeCell ref="E29:E31"/>
    <mergeCell ref="A17:E17"/>
    <mergeCell ref="G17:G18"/>
    <mergeCell ref="H17:H18"/>
    <mergeCell ref="A18:E18"/>
    <mergeCell ref="A19:E19"/>
    <mergeCell ref="G19:G20"/>
    <mergeCell ref="H19:H20"/>
    <mergeCell ref="A20:E20"/>
    <mergeCell ref="C9:F9"/>
    <mergeCell ref="C10:F11"/>
    <mergeCell ref="A14:E14"/>
    <mergeCell ref="G14:H16"/>
    <mergeCell ref="A15:E15"/>
    <mergeCell ref="A16:E16"/>
    <mergeCell ref="C8:F8"/>
    <mergeCell ref="A1:D1"/>
    <mergeCell ref="A3:F3"/>
    <mergeCell ref="C5:F5"/>
    <mergeCell ref="C6:F6"/>
    <mergeCell ref="C7:F7"/>
  </mergeCells>
  <pageMargins left="0.28000000000000003" right="0.1" top="0.25" bottom="0.17" header="0.17" footer="0.17"/>
  <pageSetup paperSize="9" scale="98" fitToHeight="0" orientation="portrait" r:id="rId1"/>
  <rowBreaks count="5" manualBreakCount="5">
    <brk id="20" max="16383" man="1"/>
    <brk id="33" max="16383" man="1"/>
    <brk id="64" max="16383" man="1"/>
    <brk id="80" max="16383" man="1"/>
    <brk id="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pageSetUpPr fitToPage="1"/>
  </sheetPr>
  <dimension ref="A1:Q127"/>
  <sheetViews>
    <sheetView topLeftCell="A7" zoomScaleNormal="100" workbookViewId="0">
      <selection activeCell="D129" sqref="D129"/>
    </sheetView>
  </sheetViews>
  <sheetFormatPr defaultColWidth="8.83984375" defaultRowHeight="15.3" x14ac:dyDescent="0.55000000000000004"/>
  <cols>
    <col min="1" max="1" width="10.41796875" style="268" customWidth="1"/>
    <col min="2" max="2" width="10.68359375" style="103" customWidth="1"/>
    <col min="3" max="3" width="4.68359375" style="103" customWidth="1"/>
    <col min="4" max="4" width="57.26171875" style="104" customWidth="1"/>
    <col min="5" max="5" width="8.68359375" style="103" customWidth="1"/>
    <col min="6" max="6" width="9.41796875" style="105" customWidth="1"/>
    <col min="7" max="8" width="8.83984375" style="192"/>
    <col min="9" max="9" width="11.41796875" style="192" customWidth="1"/>
    <col min="10" max="16384" width="8.83984375" style="192"/>
  </cols>
  <sheetData>
    <row r="1" spans="1:14" ht="9.6" customHeight="1" x14ac:dyDescent="0.55000000000000004"/>
    <row r="2" spans="1:14" ht="45" customHeight="1" x14ac:dyDescent="0.55000000000000004">
      <c r="A2" s="490" t="s">
        <v>371</v>
      </c>
      <c r="B2" s="491"/>
      <c r="C2" s="491"/>
      <c r="D2" s="491"/>
      <c r="E2" s="491"/>
      <c r="F2" s="491"/>
    </row>
    <row r="3" spans="1:14" ht="8.25" customHeight="1" x14ac:dyDescent="0.55000000000000004">
      <c r="A3" s="289"/>
      <c r="B3" s="290"/>
      <c r="C3" s="290"/>
      <c r="D3" s="290"/>
      <c r="E3" s="290"/>
      <c r="F3" s="290"/>
    </row>
    <row r="4" spans="1:14" ht="14.25" customHeight="1" x14ac:dyDescent="0.55000000000000004">
      <c r="A4" s="289"/>
      <c r="B4" s="290"/>
      <c r="C4" s="290"/>
      <c r="D4" s="290"/>
      <c r="E4" s="290"/>
      <c r="F4" s="290"/>
    </row>
    <row r="5" spans="1:14" ht="14.1" customHeight="1" x14ac:dyDescent="0.55000000000000004">
      <c r="A5" s="289"/>
      <c r="B5" s="290"/>
      <c r="C5" s="290"/>
      <c r="D5" s="290"/>
      <c r="E5" s="290"/>
      <c r="F5" s="290"/>
    </row>
    <row r="6" spans="1:14" ht="59.25" customHeight="1" x14ac:dyDescent="0.55000000000000004">
      <c r="A6" s="289"/>
      <c r="B6" s="290"/>
      <c r="C6" s="290"/>
      <c r="D6" s="290"/>
      <c r="E6" s="290"/>
      <c r="F6" s="290"/>
    </row>
    <row r="7" spans="1:14" ht="55.15" customHeight="1" x14ac:dyDescent="0.55000000000000004">
      <c r="A7" s="289"/>
      <c r="B7" s="290"/>
      <c r="C7" s="290"/>
      <c r="D7" s="290"/>
      <c r="E7" s="290"/>
      <c r="F7" s="290"/>
    </row>
    <row r="8" spans="1:14" ht="55.15" customHeight="1" x14ac:dyDescent="0.55000000000000004">
      <c r="A8" s="289"/>
      <c r="B8" s="290"/>
      <c r="C8" s="290"/>
      <c r="D8" s="290"/>
      <c r="E8" s="290"/>
      <c r="F8" s="290"/>
    </row>
    <row r="9" spans="1:14" ht="55.15" customHeight="1" x14ac:dyDescent="0.55000000000000004">
      <c r="A9" s="289"/>
      <c r="B9" s="290"/>
      <c r="C9" s="290"/>
      <c r="D9" s="290"/>
      <c r="E9" s="290"/>
      <c r="F9" s="290"/>
    </row>
    <row r="10" spans="1:14" ht="22.8" x14ac:dyDescent="0.55000000000000004">
      <c r="A10" s="289"/>
      <c r="B10" s="290"/>
      <c r="C10" s="290"/>
      <c r="D10" s="290"/>
      <c r="E10" s="290"/>
      <c r="F10" s="290"/>
    </row>
    <row r="11" spans="1:14" ht="13.5" customHeight="1" x14ac:dyDescent="0.55000000000000004">
      <c r="A11" s="289"/>
      <c r="B11" s="290"/>
      <c r="C11" s="290"/>
      <c r="D11" s="290"/>
      <c r="E11" s="290"/>
      <c r="F11" s="290"/>
    </row>
    <row r="12" spans="1:14" ht="16" customHeight="1" x14ac:dyDescent="0.55000000000000004">
      <c r="A12" s="289"/>
      <c r="B12" s="290"/>
      <c r="C12" s="290"/>
      <c r="D12" s="290"/>
      <c r="E12" s="290"/>
      <c r="F12" s="290"/>
    </row>
    <row r="13" spans="1:14" ht="50.1" customHeight="1" x14ac:dyDescent="0.55000000000000004">
      <c r="A13" s="359" t="s">
        <v>372</v>
      </c>
      <c r="B13" s="360" t="s">
        <v>373</v>
      </c>
      <c r="C13" s="486" t="s">
        <v>374</v>
      </c>
      <c r="D13" s="487"/>
      <c r="E13" s="487"/>
      <c r="F13" s="488"/>
      <c r="H13" s="599"/>
      <c r="I13" s="600"/>
      <c r="J13" s="600"/>
      <c r="K13" s="600"/>
      <c r="L13" s="600"/>
      <c r="M13" s="600"/>
      <c r="N13" s="600"/>
    </row>
    <row r="14" spans="1:14" ht="58.5" customHeight="1" x14ac:dyDescent="0.55000000000000004">
      <c r="A14" s="359" t="s">
        <v>375</v>
      </c>
      <c r="B14" s="361" t="s">
        <v>376</v>
      </c>
      <c r="C14" s="486" t="s">
        <v>377</v>
      </c>
      <c r="D14" s="487"/>
      <c r="E14" s="487"/>
      <c r="F14" s="488"/>
      <c r="H14" s="599"/>
      <c r="I14" s="600"/>
      <c r="J14" s="600"/>
      <c r="K14" s="600"/>
      <c r="L14" s="600"/>
      <c r="M14" s="600"/>
      <c r="N14" s="600"/>
    </row>
    <row r="15" spans="1:14" ht="70" customHeight="1" x14ac:dyDescent="0.55000000000000004">
      <c r="A15" s="359" t="s">
        <v>285</v>
      </c>
      <c r="B15" s="360" t="s">
        <v>378</v>
      </c>
      <c r="C15" s="486" t="s">
        <v>379</v>
      </c>
      <c r="D15" s="487"/>
      <c r="E15" s="487"/>
      <c r="F15" s="488"/>
      <c r="H15" s="599"/>
      <c r="I15" s="600"/>
      <c r="J15" s="600"/>
      <c r="K15" s="600"/>
      <c r="L15" s="600"/>
      <c r="M15" s="600"/>
      <c r="N15" s="600"/>
    </row>
    <row r="16" spans="1:14" ht="60" customHeight="1" x14ac:dyDescent="0.55000000000000004">
      <c r="A16" s="359" t="s">
        <v>380</v>
      </c>
      <c r="B16" s="360" t="s">
        <v>381</v>
      </c>
      <c r="C16" s="486" t="s">
        <v>382</v>
      </c>
      <c r="D16" s="487"/>
      <c r="E16" s="487"/>
      <c r="F16" s="488"/>
      <c r="H16" s="599"/>
      <c r="I16" s="600"/>
      <c r="J16" s="600"/>
      <c r="K16" s="600"/>
      <c r="L16" s="600"/>
      <c r="M16" s="600"/>
      <c r="N16" s="600"/>
    </row>
    <row r="17" spans="1:14" ht="60" customHeight="1" x14ac:dyDescent="0.55000000000000004">
      <c r="A17" s="359" t="s">
        <v>287</v>
      </c>
      <c r="B17" s="361" t="s">
        <v>383</v>
      </c>
      <c r="C17" s="486" t="s">
        <v>384</v>
      </c>
      <c r="D17" s="487"/>
      <c r="E17" s="487"/>
      <c r="F17" s="488"/>
      <c r="H17" s="599"/>
      <c r="I17" s="600"/>
      <c r="J17" s="600"/>
      <c r="K17" s="600"/>
      <c r="L17" s="600"/>
      <c r="M17" s="600"/>
      <c r="N17" s="600"/>
    </row>
    <row r="18" spans="1:14" ht="50.1" customHeight="1" x14ac:dyDescent="0.55000000000000004">
      <c r="A18" s="359" t="s">
        <v>288</v>
      </c>
      <c r="B18" s="361" t="s">
        <v>385</v>
      </c>
      <c r="C18" s="492" t="s">
        <v>386</v>
      </c>
      <c r="D18" s="493"/>
      <c r="E18" s="493"/>
      <c r="F18" s="494"/>
      <c r="H18" s="601"/>
      <c r="I18" s="602"/>
      <c r="J18" s="602"/>
      <c r="K18" s="602"/>
      <c r="L18" s="602"/>
      <c r="M18" s="602"/>
      <c r="N18" s="602"/>
    </row>
    <row r="19" spans="1:14" ht="50.1" customHeight="1" x14ac:dyDescent="0.55000000000000004">
      <c r="A19" s="359" t="s">
        <v>289</v>
      </c>
      <c r="B19" s="361" t="s">
        <v>387</v>
      </c>
      <c r="C19" s="495"/>
      <c r="D19" s="496"/>
      <c r="E19" s="496"/>
      <c r="F19" s="497"/>
      <c r="H19" s="362"/>
      <c r="I19" s="362"/>
      <c r="J19" s="362"/>
      <c r="K19" s="362"/>
      <c r="L19" s="362"/>
      <c r="M19" s="362"/>
      <c r="N19" s="362"/>
    </row>
    <row r="20" spans="1:14" ht="13.5" customHeight="1" x14ac:dyDescent="0.55000000000000004">
      <c r="A20" s="363"/>
      <c r="B20" s="364"/>
      <c r="C20" s="364"/>
      <c r="D20" s="364"/>
      <c r="E20" s="364"/>
      <c r="F20" s="364"/>
    </row>
    <row r="21" spans="1:14" s="193" customFormat="1" ht="30" customHeight="1" x14ac:dyDescent="0.55000000000000004">
      <c r="A21" s="507" t="s">
        <v>202</v>
      </c>
      <c r="B21" s="509" t="s">
        <v>111</v>
      </c>
      <c r="C21" s="510"/>
      <c r="D21" s="510"/>
      <c r="E21" s="510"/>
      <c r="F21" s="291" t="s">
        <v>112</v>
      </c>
    </row>
    <row r="22" spans="1:14" s="193" customFormat="1" ht="30" customHeight="1" x14ac:dyDescent="0.55000000000000004">
      <c r="A22" s="508"/>
      <c r="B22" s="511"/>
      <c r="C22" s="512"/>
      <c r="D22" s="512"/>
      <c r="E22" s="512"/>
      <c r="F22" s="365">
        <v>180</v>
      </c>
    </row>
    <row r="23" spans="1:14" s="294" customFormat="1" ht="30" customHeight="1" x14ac:dyDescent="0.55000000000000004">
      <c r="A23" s="513" t="s">
        <v>246</v>
      </c>
      <c r="B23" s="514" t="s">
        <v>203</v>
      </c>
      <c r="C23" s="516">
        <v>1</v>
      </c>
      <c r="D23" s="292" t="s">
        <v>388</v>
      </c>
      <c r="E23" s="505" t="s">
        <v>247</v>
      </c>
      <c r="F23" s="293">
        <v>20</v>
      </c>
    </row>
    <row r="24" spans="1:14" s="294" customFormat="1" ht="30" customHeight="1" x14ac:dyDescent="0.55000000000000004">
      <c r="A24" s="513"/>
      <c r="B24" s="515"/>
      <c r="C24" s="517"/>
      <c r="D24" s="295" t="s">
        <v>389</v>
      </c>
      <c r="E24" s="518"/>
      <c r="F24" s="296">
        <v>70</v>
      </c>
    </row>
    <row r="25" spans="1:14" s="294" customFormat="1" ht="30" customHeight="1" x14ac:dyDescent="0.55000000000000004">
      <c r="A25" s="513"/>
      <c r="B25" s="519" t="s">
        <v>203</v>
      </c>
      <c r="C25" s="521">
        <v>2</v>
      </c>
      <c r="D25" s="295" t="s">
        <v>57</v>
      </c>
      <c r="E25" s="523" t="s">
        <v>247</v>
      </c>
      <c r="F25" s="296">
        <v>25</v>
      </c>
    </row>
    <row r="26" spans="1:14" s="294" customFormat="1" ht="30" customHeight="1" x14ac:dyDescent="0.55000000000000004">
      <c r="A26" s="513"/>
      <c r="B26" s="520"/>
      <c r="C26" s="522"/>
      <c r="D26" s="301" t="s">
        <v>3</v>
      </c>
      <c r="E26" s="524"/>
      <c r="F26" s="303">
        <v>40</v>
      </c>
    </row>
    <row r="27" spans="1:14" s="294" customFormat="1" ht="30" customHeight="1" x14ac:dyDescent="0.55000000000000004">
      <c r="A27" s="513" t="s">
        <v>311</v>
      </c>
      <c r="B27" s="320" t="s">
        <v>203</v>
      </c>
      <c r="C27" s="368">
        <v>3</v>
      </c>
      <c r="D27" s="292" t="s">
        <v>209</v>
      </c>
      <c r="E27" s="299"/>
      <c r="F27" s="293">
        <v>5</v>
      </c>
    </row>
    <row r="28" spans="1:14" s="294" customFormat="1" ht="30" customHeight="1" x14ac:dyDescent="0.55000000000000004">
      <c r="A28" s="525"/>
      <c r="B28" s="326" t="s">
        <v>203</v>
      </c>
      <c r="C28" s="330">
        <v>4</v>
      </c>
      <c r="D28" s="301" t="s">
        <v>210</v>
      </c>
      <c r="E28" s="302"/>
      <c r="F28" s="303">
        <v>10</v>
      </c>
    </row>
    <row r="29" spans="1:14" s="294" customFormat="1" ht="30" customHeight="1" x14ac:dyDescent="0.55000000000000004">
      <c r="A29" s="513" t="s">
        <v>248</v>
      </c>
      <c r="B29" s="514" t="s">
        <v>203</v>
      </c>
      <c r="C29" s="516">
        <v>5</v>
      </c>
      <c r="D29" s="292" t="s">
        <v>390</v>
      </c>
      <c r="E29" s="528" t="s">
        <v>247</v>
      </c>
      <c r="F29" s="293">
        <v>5</v>
      </c>
    </row>
    <row r="30" spans="1:14" s="294" customFormat="1" ht="30" customHeight="1" x14ac:dyDescent="0.55000000000000004">
      <c r="A30" s="513"/>
      <c r="B30" s="515"/>
      <c r="C30" s="517"/>
      <c r="D30" s="295" t="s">
        <v>391</v>
      </c>
      <c r="E30" s="523"/>
      <c r="F30" s="297">
        <v>10</v>
      </c>
    </row>
    <row r="31" spans="1:14" s="294" customFormat="1" ht="30" customHeight="1" x14ac:dyDescent="0.55000000000000004">
      <c r="A31" s="513"/>
      <c r="B31" s="526"/>
      <c r="C31" s="527"/>
      <c r="D31" s="301" t="s">
        <v>392</v>
      </c>
      <c r="E31" s="524"/>
      <c r="F31" s="303">
        <v>15</v>
      </c>
    </row>
    <row r="32" spans="1:14" s="369" customFormat="1" ht="38.1" customHeight="1" x14ac:dyDescent="0.55000000000000004">
      <c r="A32" s="532" t="s">
        <v>393</v>
      </c>
      <c r="B32" s="533" t="s">
        <v>203</v>
      </c>
      <c r="C32" s="503">
        <v>6</v>
      </c>
      <c r="D32" s="292" t="s">
        <v>394</v>
      </c>
      <c r="E32" s="505" t="s">
        <v>247</v>
      </c>
      <c r="F32" s="293">
        <v>5</v>
      </c>
    </row>
    <row r="33" spans="1:14" s="369" customFormat="1" ht="38.1" customHeight="1" x14ac:dyDescent="0.55000000000000004">
      <c r="A33" s="532"/>
      <c r="B33" s="534"/>
      <c r="C33" s="504"/>
      <c r="D33" s="301" t="s">
        <v>395</v>
      </c>
      <c r="E33" s="506"/>
      <c r="F33" s="303">
        <v>10</v>
      </c>
    </row>
    <row r="34" spans="1:14" s="371" customFormat="1" ht="25" customHeight="1" x14ac:dyDescent="0.55000000000000004">
      <c r="A34" s="370" t="s">
        <v>396</v>
      </c>
      <c r="I34" s="372"/>
      <c r="J34" s="373"/>
      <c r="K34" s="373"/>
      <c r="L34" s="373"/>
      <c r="M34" s="373"/>
      <c r="N34" s="373"/>
    </row>
    <row r="35" spans="1:14" s="294" customFormat="1" x14ac:dyDescent="0.55000000000000004">
      <c r="A35" s="374" t="s">
        <v>397</v>
      </c>
      <c r="B35" s="188"/>
      <c r="C35" s="188"/>
      <c r="D35" s="188"/>
      <c r="I35" s="375"/>
      <c r="J35" s="375"/>
      <c r="K35" s="375"/>
      <c r="L35" s="375"/>
      <c r="M35" s="375"/>
      <c r="N35" s="375"/>
    </row>
    <row r="36" spans="1:14" s="294" customFormat="1" x14ac:dyDescent="0.55000000000000004">
      <c r="A36" s="191" t="s">
        <v>398</v>
      </c>
      <c r="B36" s="188"/>
      <c r="C36" s="188"/>
      <c r="E36" s="376"/>
      <c r="I36" s="375"/>
      <c r="J36" s="375"/>
      <c r="K36" s="375"/>
      <c r="L36" s="375"/>
      <c r="M36" s="375"/>
      <c r="N36" s="375"/>
    </row>
    <row r="37" spans="1:14" s="294" customFormat="1" x14ac:dyDescent="0.55000000000000004">
      <c r="A37" s="374" t="s">
        <v>399</v>
      </c>
      <c r="B37" s="188"/>
      <c r="C37" s="188"/>
      <c r="D37" s="377"/>
      <c r="I37" s="375"/>
      <c r="J37" s="375"/>
      <c r="K37" s="375"/>
      <c r="L37" s="375"/>
      <c r="M37" s="375"/>
      <c r="N37" s="375"/>
    </row>
    <row r="38" spans="1:14" s="294" customFormat="1" x14ac:dyDescent="0.55000000000000004">
      <c r="A38" s="378" t="s">
        <v>400</v>
      </c>
      <c r="B38" s="378"/>
      <c r="C38" s="378"/>
      <c r="D38" s="189"/>
      <c r="E38" s="376"/>
      <c r="I38" s="375"/>
      <c r="J38" s="375"/>
      <c r="K38" s="375"/>
      <c r="L38" s="375"/>
      <c r="M38" s="375"/>
      <c r="N38" s="375"/>
    </row>
    <row r="39" spans="1:14" s="294" customFormat="1" x14ac:dyDescent="0.55000000000000004">
      <c r="A39" s="378" t="s">
        <v>401</v>
      </c>
      <c r="B39" s="188"/>
      <c r="C39" s="188"/>
      <c r="D39" s="189"/>
      <c r="E39" s="376"/>
      <c r="I39" s="375"/>
      <c r="J39" s="375"/>
      <c r="K39" s="375"/>
      <c r="L39" s="375"/>
      <c r="M39" s="375"/>
      <c r="N39" s="375"/>
    </row>
    <row r="40" spans="1:14" s="294" customFormat="1" x14ac:dyDescent="0.55000000000000004">
      <c r="A40" s="603" t="s">
        <v>402</v>
      </c>
      <c r="B40" s="603"/>
      <c r="C40" s="603"/>
      <c r="D40" s="603"/>
      <c r="E40" s="603"/>
      <c r="F40" s="603"/>
    </row>
    <row r="41" spans="1:14" ht="30" customHeight="1" x14ac:dyDescent="0.55000000000000004">
      <c r="A41" s="538" t="s">
        <v>215</v>
      </c>
      <c r="B41" s="540" t="s">
        <v>403</v>
      </c>
      <c r="C41" s="541"/>
      <c r="D41" s="541"/>
      <c r="E41" s="358"/>
      <c r="F41" s="379" t="s">
        <v>112</v>
      </c>
    </row>
    <row r="42" spans="1:14" ht="30" customHeight="1" x14ac:dyDescent="0.55000000000000004">
      <c r="A42" s="539"/>
      <c r="B42" s="542"/>
      <c r="C42" s="543"/>
      <c r="D42" s="543"/>
      <c r="E42" s="196"/>
      <c r="F42" s="380">
        <f>SUM(F43:F59,F62,F63:F71)</f>
        <v>450</v>
      </c>
    </row>
    <row r="43" spans="1:14" ht="36" customHeight="1" x14ac:dyDescent="0.55000000000000004">
      <c r="A43" s="544" t="s">
        <v>250</v>
      </c>
      <c r="B43" s="298" t="s">
        <v>203</v>
      </c>
      <c r="C43" s="368">
        <v>7</v>
      </c>
      <c r="D43" s="448" t="s">
        <v>448</v>
      </c>
      <c r="E43" s="298"/>
      <c r="F43" s="293">
        <v>5</v>
      </c>
    </row>
    <row r="44" spans="1:14" ht="35.1" customHeight="1" x14ac:dyDescent="0.55000000000000004">
      <c r="A44" s="545"/>
      <c r="B44" s="304" t="s">
        <v>203</v>
      </c>
      <c r="C44" s="367">
        <v>8</v>
      </c>
      <c r="D44" s="295" t="s">
        <v>404</v>
      </c>
      <c r="E44" s="304"/>
      <c r="F44" s="297">
        <v>5</v>
      </c>
    </row>
    <row r="45" spans="1:14" ht="35.1" customHeight="1" x14ac:dyDescent="0.55000000000000004">
      <c r="A45" s="546"/>
      <c r="B45" s="300" t="s">
        <v>203</v>
      </c>
      <c r="C45" s="330">
        <v>9</v>
      </c>
      <c r="D45" s="301" t="s">
        <v>350</v>
      </c>
      <c r="E45" s="300"/>
      <c r="F45" s="303">
        <v>5</v>
      </c>
    </row>
    <row r="46" spans="1:14" ht="35.1" customHeight="1" x14ac:dyDescent="0.55000000000000004">
      <c r="A46" s="544" t="s">
        <v>251</v>
      </c>
      <c r="B46" s="298" t="s">
        <v>203</v>
      </c>
      <c r="C46" s="368">
        <v>10</v>
      </c>
      <c r="D46" s="292" t="s">
        <v>117</v>
      </c>
      <c r="E46" s="298"/>
      <c r="F46" s="293">
        <v>5</v>
      </c>
    </row>
    <row r="47" spans="1:14" ht="50.1" customHeight="1" x14ac:dyDescent="0.55000000000000004">
      <c r="A47" s="545"/>
      <c r="B47" s="304" t="s">
        <v>203</v>
      </c>
      <c r="C47" s="367">
        <v>11</v>
      </c>
      <c r="D47" s="295" t="s">
        <v>405</v>
      </c>
      <c r="E47" s="304"/>
      <c r="F47" s="297">
        <v>5</v>
      </c>
    </row>
    <row r="48" spans="1:14" ht="50.1" customHeight="1" x14ac:dyDescent="0.55000000000000004">
      <c r="A48" s="546"/>
      <c r="B48" s="300" t="s">
        <v>203</v>
      </c>
      <c r="C48" s="330">
        <v>12</v>
      </c>
      <c r="D48" s="301" t="s">
        <v>406</v>
      </c>
      <c r="E48" s="300"/>
      <c r="F48" s="303">
        <v>5</v>
      </c>
    </row>
    <row r="49" spans="1:6" ht="35.1" customHeight="1" x14ac:dyDescent="0.55000000000000004">
      <c r="A49" s="535" t="s">
        <v>407</v>
      </c>
      <c r="B49" s="298" t="s">
        <v>203</v>
      </c>
      <c r="C49" s="368">
        <v>13</v>
      </c>
      <c r="D49" s="327" t="s">
        <v>408</v>
      </c>
      <c r="E49" s="381"/>
      <c r="F49" s="293">
        <v>15</v>
      </c>
    </row>
    <row r="50" spans="1:6" ht="26.1" customHeight="1" x14ac:dyDescent="0.55000000000000004">
      <c r="A50" s="536"/>
      <c r="B50" s="304" t="s">
        <v>203</v>
      </c>
      <c r="C50" s="367">
        <v>14</v>
      </c>
      <c r="D50" s="333" t="s">
        <v>319</v>
      </c>
      <c r="E50" s="382"/>
      <c r="F50" s="297">
        <v>15</v>
      </c>
    </row>
    <row r="51" spans="1:6" ht="35.1" customHeight="1" x14ac:dyDescent="0.55000000000000004">
      <c r="A51" s="536"/>
      <c r="B51" s="304" t="s">
        <v>203</v>
      </c>
      <c r="C51" s="367">
        <v>15</v>
      </c>
      <c r="D51" s="324" t="s">
        <v>409</v>
      </c>
      <c r="E51" s="382"/>
      <c r="F51" s="297">
        <v>15</v>
      </c>
    </row>
    <row r="52" spans="1:6" s="267" customFormat="1" ht="35.1" customHeight="1" x14ac:dyDescent="0.55000000000000004">
      <c r="A52" s="536"/>
      <c r="B52" s="383" t="s">
        <v>203</v>
      </c>
      <c r="C52" s="321">
        <v>16</v>
      </c>
      <c r="D52" s="321" t="s">
        <v>410</v>
      </c>
      <c r="E52" s="383"/>
      <c r="F52" s="297">
        <v>15</v>
      </c>
    </row>
    <row r="53" spans="1:6" ht="25" customHeight="1" x14ac:dyDescent="0.55000000000000004">
      <c r="A53" s="537"/>
      <c r="B53" s="300" t="s">
        <v>203</v>
      </c>
      <c r="C53" s="330">
        <v>17</v>
      </c>
      <c r="D53" s="331" t="s">
        <v>320</v>
      </c>
      <c r="E53" s="384"/>
      <c r="F53" s="303">
        <v>10</v>
      </c>
    </row>
    <row r="54" spans="1:6" ht="23.5" customHeight="1" x14ac:dyDescent="0.55000000000000004">
      <c r="A54" s="544" t="s">
        <v>411</v>
      </c>
      <c r="B54" s="298" t="s">
        <v>203</v>
      </c>
      <c r="C54" s="368">
        <v>18</v>
      </c>
      <c r="D54" s="448" t="s">
        <v>449</v>
      </c>
      <c r="E54" s="385"/>
      <c r="F54" s="293">
        <v>30</v>
      </c>
    </row>
    <row r="55" spans="1:6" ht="40.5" customHeight="1" x14ac:dyDescent="0.55000000000000004">
      <c r="A55" s="545"/>
      <c r="B55" s="304" t="s">
        <v>203</v>
      </c>
      <c r="C55" s="367">
        <v>19</v>
      </c>
      <c r="D55" s="449" t="s">
        <v>450</v>
      </c>
      <c r="E55" s="386"/>
      <c r="F55" s="297">
        <v>20</v>
      </c>
    </row>
    <row r="56" spans="1:6" ht="130" customHeight="1" x14ac:dyDescent="0.55000000000000004">
      <c r="A56" s="546"/>
      <c r="B56" s="300" t="s">
        <v>203</v>
      </c>
      <c r="C56" s="330">
        <v>20</v>
      </c>
      <c r="D56" s="325" t="s">
        <v>451</v>
      </c>
      <c r="E56" s="387"/>
      <c r="F56" s="351">
        <v>30</v>
      </c>
    </row>
    <row r="57" spans="1:6" ht="35.1" customHeight="1" x14ac:dyDescent="0.55000000000000004">
      <c r="A57" s="547" t="s">
        <v>412</v>
      </c>
      <c r="B57" s="298" t="s">
        <v>203</v>
      </c>
      <c r="C57" s="368">
        <v>21</v>
      </c>
      <c r="D57" s="327" t="s">
        <v>328</v>
      </c>
      <c r="E57" s="381"/>
      <c r="F57" s="293">
        <v>10</v>
      </c>
    </row>
    <row r="58" spans="1:6" ht="52" customHeight="1" x14ac:dyDescent="0.55000000000000004">
      <c r="A58" s="548"/>
      <c r="B58" s="304" t="s">
        <v>203</v>
      </c>
      <c r="C58" s="367">
        <v>22</v>
      </c>
      <c r="D58" s="324" t="s">
        <v>413</v>
      </c>
      <c r="E58" s="382"/>
      <c r="F58" s="297">
        <v>10</v>
      </c>
    </row>
    <row r="59" spans="1:6" s="267" customFormat="1" ht="50.1" customHeight="1" x14ac:dyDescent="0.55000000000000004">
      <c r="A59" s="549"/>
      <c r="B59" s="300" t="s">
        <v>203</v>
      </c>
      <c r="C59" s="330">
        <v>23</v>
      </c>
      <c r="D59" s="325" t="s">
        <v>414</v>
      </c>
      <c r="E59" s="384"/>
      <c r="F59" s="303">
        <v>10</v>
      </c>
    </row>
    <row r="60" spans="1:6" ht="38.1" customHeight="1" x14ac:dyDescent="0.55000000000000004">
      <c r="A60" s="535" t="s">
        <v>335</v>
      </c>
      <c r="B60" s="550" t="s">
        <v>203</v>
      </c>
      <c r="C60" s="553">
        <v>24</v>
      </c>
      <c r="D60" s="292" t="s">
        <v>133</v>
      </c>
      <c r="E60" s="529" t="s">
        <v>415</v>
      </c>
      <c r="F60" s="293">
        <v>5</v>
      </c>
    </row>
    <row r="61" spans="1:6" ht="35.1" customHeight="1" x14ac:dyDescent="0.55000000000000004">
      <c r="A61" s="536"/>
      <c r="B61" s="551"/>
      <c r="C61" s="521"/>
      <c r="D61" s="295" t="s">
        <v>134</v>
      </c>
      <c r="E61" s="530"/>
      <c r="F61" s="297">
        <v>10</v>
      </c>
    </row>
    <row r="62" spans="1:6" ht="50.1" customHeight="1" x14ac:dyDescent="0.55000000000000004">
      <c r="A62" s="537"/>
      <c r="B62" s="552"/>
      <c r="C62" s="522"/>
      <c r="D62" s="301" t="s">
        <v>331</v>
      </c>
      <c r="E62" s="531"/>
      <c r="F62" s="303">
        <v>20</v>
      </c>
    </row>
    <row r="63" spans="1:6" ht="38.1" customHeight="1" x14ac:dyDescent="0.55000000000000004">
      <c r="A63" s="535" t="s">
        <v>336</v>
      </c>
      <c r="B63" s="298" t="s">
        <v>203</v>
      </c>
      <c r="C63" s="368">
        <v>25</v>
      </c>
      <c r="D63" s="448" t="s">
        <v>452</v>
      </c>
      <c r="E63" s="385"/>
      <c r="F63" s="350">
        <v>30</v>
      </c>
    </row>
    <row r="64" spans="1:6" ht="67" customHeight="1" x14ac:dyDescent="0.55000000000000004">
      <c r="A64" s="537"/>
      <c r="B64" s="300" t="s">
        <v>203</v>
      </c>
      <c r="C64" s="330">
        <v>26</v>
      </c>
      <c r="D64" s="450" t="s">
        <v>453</v>
      </c>
      <c r="E64" s="387"/>
      <c r="F64" s="351">
        <v>30</v>
      </c>
    </row>
    <row r="65" spans="1:14" ht="41.5" customHeight="1" x14ac:dyDescent="0.55000000000000004">
      <c r="A65" s="535" t="s">
        <v>337</v>
      </c>
      <c r="B65" s="298" t="s">
        <v>203</v>
      </c>
      <c r="C65" s="368">
        <v>27</v>
      </c>
      <c r="D65" s="448" t="s">
        <v>454</v>
      </c>
      <c r="E65" s="385"/>
      <c r="F65" s="293">
        <v>20</v>
      </c>
    </row>
    <row r="66" spans="1:14" ht="40.5" customHeight="1" x14ac:dyDescent="0.55000000000000004">
      <c r="A66" s="536"/>
      <c r="B66" s="304" t="s">
        <v>203</v>
      </c>
      <c r="C66" s="367">
        <v>28</v>
      </c>
      <c r="D66" s="449" t="s">
        <v>455</v>
      </c>
      <c r="E66" s="386"/>
      <c r="F66" s="297">
        <v>20</v>
      </c>
    </row>
    <row r="67" spans="1:14" ht="46" customHeight="1" x14ac:dyDescent="0.55000000000000004">
      <c r="A67" s="537"/>
      <c r="B67" s="300" t="s">
        <v>203</v>
      </c>
      <c r="C67" s="330">
        <v>29</v>
      </c>
      <c r="D67" s="325" t="s">
        <v>456</v>
      </c>
      <c r="E67" s="387"/>
      <c r="F67" s="303">
        <v>20</v>
      </c>
    </row>
    <row r="68" spans="1:14" ht="63" customHeight="1" x14ac:dyDescent="0.55000000000000004">
      <c r="A68" s="323" t="s">
        <v>416</v>
      </c>
      <c r="B68" s="388" t="s">
        <v>203</v>
      </c>
      <c r="C68" s="389">
        <v>30</v>
      </c>
      <c r="D68" s="390" t="s">
        <v>457</v>
      </c>
      <c r="E68" s="391"/>
      <c r="F68" s="392">
        <v>20</v>
      </c>
    </row>
    <row r="69" spans="1:14" ht="59.1" customHeight="1" x14ac:dyDescent="0.55000000000000004">
      <c r="A69" s="535" t="s">
        <v>339</v>
      </c>
      <c r="B69" s="298" t="s">
        <v>203</v>
      </c>
      <c r="C69" s="368">
        <v>31</v>
      </c>
      <c r="D69" s="357" t="s">
        <v>458</v>
      </c>
      <c r="E69" s="385"/>
      <c r="F69" s="293">
        <v>40</v>
      </c>
    </row>
    <row r="70" spans="1:14" ht="50.1" customHeight="1" x14ac:dyDescent="0.55000000000000004">
      <c r="A70" s="536"/>
      <c r="B70" s="304" t="s">
        <v>203</v>
      </c>
      <c r="C70" s="367">
        <v>32</v>
      </c>
      <c r="D70" s="321" t="s">
        <v>417</v>
      </c>
      <c r="E70" s="386"/>
      <c r="F70" s="297">
        <v>20</v>
      </c>
    </row>
    <row r="71" spans="1:14" ht="30" customHeight="1" x14ac:dyDescent="0.55000000000000004">
      <c r="A71" s="537"/>
      <c r="B71" s="300" t="s">
        <v>203</v>
      </c>
      <c r="C71" s="330">
        <v>33</v>
      </c>
      <c r="D71" s="322" t="s">
        <v>324</v>
      </c>
      <c r="E71" s="387"/>
      <c r="F71" s="303">
        <v>20</v>
      </c>
    </row>
    <row r="72" spans="1:14" ht="30" customHeight="1" x14ac:dyDescent="0.55000000000000004">
      <c r="A72" s="554" t="s">
        <v>232</v>
      </c>
      <c r="B72" s="556" t="s">
        <v>418</v>
      </c>
      <c r="C72" s="557"/>
      <c r="D72" s="557"/>
      <c r="E72" s="306"/>
      <c r="F72" s="307" t="s">
        <v>61</v>
      </c>
    </row>
    <row r="73" spans="1:14" ht="30" customHeight="1" x14ac:dyDescent="0.55000000000000004">
      <c r="A73" s="555"/>
      <c r="B73" s="558"/>
      <c r="C73" s="559"/>
      <c r="D73" s="559"/>
      <c r="E73" s="197"/>
      <c r="F73" s="393">
        <f>SUM(F74:F81,F84,F85:F87)</f>
        <v>120</v>
      </c>
    </row>
    <row r="74" spans="1:14" ht="52" customHeight="1" x14ac:dyDescent="0.55000000000000004">
      <c r="A74" s="560" t="s">
        <v>340</v>
      </c>
      <c r="B74" s="298" t="s">
        <v>203</v>
      </c>
      <c r="C74" s="368">
        <v>34</v>
      </c>
      <c r="D74" s="292" t="s">
        <v>419</v>
      </c>
      <c r="E74" s="298"/>
      <c r="F74" s="394">
        <v>10</v>
      </c>
      <c r="G74" s="395"/>
      <c r="H74" s="334"/>
      <c r="I74" s="334"/>
      <c r="J74" s="334"/>
      <c r="K74" s="334"/>
      <c r="L74" s="334"/>
      <c r="M74" s="334"/>
      <c r="N74" s="334"/>
    </row>
    <row r="75" spans="1:14" ht="38.1" customHeight="1" x14ac:dyDescent="0.55000000000000004">
      <c r="A75" s="561"/>
      <c r="B75" s="304" t="s">
        <v>203</v>
      </c>
      <c r="C75" s="367">
        <v>35</v>
      </c>
      <c r="D75" s="295" t="s">
        <v>154</v>
      </c>
      <c r="E75" s="304"/>
      <c r="F75" s="396">
        <v>10</v>
      </c>
      <c r="G75" s="395"/>
      <c r="I75" s="397"/>
    </row>
    <row r="76" spans="1:14" ht="38.1" customHeight="1" x14ac:dyDescent="0.55000000000000004">
      <c r="A76" s="561"/>
      <c r="B76" s="304" t="s">
        <v>203</v>
      </c>
      <c r="C76" s="367">
        <v>36</v>
      </c>
      <c r="D76" s="295" t="s">
        <v>153</v>
      </c>
      <c r="E76" s="304"/>
      <c r="F76" s="396">
        <v>10</v>
      </c>
      <c r="G76" s="395"/>
      <c r="I76" s="397"/>
    </row>
    <row r="77" spans="1:14" ht="65.099999999999994" customHeight="1" x14ac:dyDescent="0.55000000000000004">
      <c r="A77" s="561"/>
      <c r="B77" s="304" t="s">
        <v>203</v>
      </c>
      <c r="C77" s="367">
        <v>37</v>
      </c>
      <c r="D77" s="295" t="s">
        <v>420</v>
      </c>
      <c r="E77" s="304"/>
      <c r="F77" s="398">
        <v>10</v>
      </c>
      <c r="G77" s="399"/>
      <c r="I77" s="397"/>
    </row>
    <row r="78" spans="1:14" ht="38.1" customHeight="1" x14ac:dyDescent="0.55000000000000004">
      <c r="A78" s="561"/>
      <c r="B78" s="304" t="s">
        <v>203</v>
      </c>
      <c r="C78" s="367">
        <v>38</v>
      </c>
      <c r="D78" s="295" t="s">
        <v>158</v>
      </c>
      <c r="E78" s="304"/>
      <c r="F78" s="398">
        <v>5</v>
      </c>
      <c r="G78" s="399"/>
      <c r="I78" s="397"/>
    </row>
    <row r="79" spans="1:14" ht="38.1" customHeight="1" x14ac:dyDescent="0.55000000000000004">
      <c r="A79" s="562"/>
      <c r="B79" s="300" t="s">
        <v>203</v>
      </c>
      <c r="C79" s="330">
        <v>39</v>
      </c>
      <c r="D79" s="301" t="s">
        <v>155</v>
      </c>
      <c r="E79" s="300"/>
      <c r="F79" s="400">
        <v>5</v>
      </c>
      <c r="G79" s="399"/>
      <c r="I79" s="397"/>
    </row>
    <row r="80" spans="1:14" ht="38.1" customHeight="1" x14ac:dyDescent="0.55000000000000004">
      <c r="A80" s="560" t="s">
        <v>341</v>
      </c>
      <c r="B80" s="298" t="s">
        <v>203</v>
      </c>
      <c r="C80" s="368">
        <v>40</v>
      </c>
      <c r="D80" s="292" t="s">
        <v>156</v>
      </c>
      <c r="E80" s="298"/>
      <c r="F80" s="394">
        <v>10</v>
      </c>
      <c r="G80" s="395"/>
    </row>
    <row r="81" spans="1:17" ht="38.1" customHeight="1" x14ac:dyDescent="0.55000000000000004">
      <c r="A81" s="561"/>
      <c r="B81" s="304" t="s">
        <v>203</v>
      </c>
      <c r="C81" s="367">
        <v>41</v>
      </c>
      <c r="D81" s="295" t="s">
        <v>159</v>
      </c>
      <c r="E81" s="304"/>
      <c r="F81" s="396">
        <v>10</v>
      </c>
      <c r="G81" s="395"/>
    </row>
    <row r="82" spans="1:17" ht="30" customHeight="1" x14ac:dyDescent="0.55000000000000004">
      <c r="A82" s="561"/>
      <c r="B82" s="304" t="s">
        <v>203</v>
      </c>
      <c r="C82" s="367">
        <v>42</v>
      </c>
      <c r="D82" s="295" t="s">
        <v>160</v>
      </c>
      <c r="E82" s="566" t="s">
        <v>421</v>
      </c>
      <c r="F82" s="396">
        <v>10</v>
      </c>
      <c r="G82" s="401"/>
    </row>
    <row r="83" spans="1:17" ht="50.1" customHeight="1" x14ac:dyDescent="0.55000000000000004">
      <c r="A83" s="561"/>
      <c r="B83" s="304" t="s">
        <v>203</v>
      </c>
      <c r="C83" s="367">
        <v>43</v>
      </c>
      <c r="D83" s="295" t="s">
        <v>422</v>
      </c>
      <c r="E83" s="566"/>
      <c r="F83" s="396">
        <v>15</v>
      </c>
      <c r="G83" s="401"/>
    </row>
    <row r="84" spans="1:17" ht="38.1" customHeight="1" x14ac:dyDescent="0.55000000000000004">
      <c r="A84" s="562"/>
      <c r="B84" s="300" t="s">
        <v>203</v>
      </c>
      <c r="C84" s="330">
        <v>44</v>
      </c>
      <c r="D84" s="301" t="s">
        <v>423</v>
      </c>
      <c r="E84" s="567"/>
      <c r="F84" s="402">
        <v>20</v>
      </c>
      <c r="G84" s="401"/>
    </row>
    <row r="85" spans="1:17" ht="38.1" customHeight="1" x14ac:dyDescent="0.55000000000000004">
      <c r="A85" s="560" t="s">
        <v>342</v>
      </c>
      <c r="B85" s="298" t="s">
        <v>203</v>
      </c>
      <c r="C85" s="403">
        <v>45</v>
      </c>
      <c r="D85" s="292" t="s">
        <v>162</v>
      </c>
      <c r="E85" s="298"/>
      <c r="F85" s="394">
        <v>10</v>
      </c>
      <c r="G85" s="395"/>
      <c r="N85" s="334"/>
      <c r="O85" s="334"/>
      <c r="P85" s="334"/>
      <c r="Q85" s="334"/>
    </row>
    <row r="86" spans="1:17" ht="38.1" customHeight="1" x14ac:dyDescent="0.55000000000000004">
      <c r="A86" s="561"/>
      <c r="B86" s="304" t="s">
        <v>203</v>
      </c>
      <c r="C86" s="404">
        <v>46</v>
      </c>
      <c r="D86" s="295" t="s">
        <v>424</v>
      </c>
      <c r="E86" s="304"/>
      <c r="F86" s="396">
        <v>10</v>
      </c>
      <c r="G86" s="395"/>
      <c r="H86" s="405"/>
      <c r="I86" s="405"/>
      <c r="J86" s="405"/>
      <c r="K86" s="405"/>
      <c r="L86" s="405"/>
      <c r="M86" s="405"/>
      <c r="N86" s="334"/>
      <c r="O86" s="334"/>
      <c r="P86" s="334"/>
      <c r="Q86" s="334"/>
    </row>
    <row r="87" spans="1:17" ht="38.1" customHeight="1" x14ac:dyDescent="0.55000000000000004">
      <c r="A87" s="562"/>
      <c r="B87" s="300" t="s">
        <v>203</v>
      </c>
      <c r="C87" s="330">
        <v>47</v>
      </c>
      <c r="D87" s="301" t="s">
        <v>164</v>
      </c>
      <c r="E87" s="300"/>
      <c r="F87" s="402">
        <v>10</v>
      </c>
      <c r="G87" s="395"/>
    </row>
    <row r="88" spans="1:17" ht="30" customHeight="1" x14ac:dyDescent="0.55000000000000004">
      <c r="A88" s="568" t="s">
        <v>238</v>
      </c>
      <c r="B88" s="570" t="s">
        <v>165</v>
      </c>
      <c r="C88" s="571"/>
      <c r="D88" s="571"/>
      <c r="E88" s="247"/>
      <c r="F88" s="308" t="s">
        <v>61</v>
      </c>
    </row>
    <row r="89" spans="1:17" ht="30" customHeight="1" x14ac:dyDescent="0.55000000000000004">
      <c r="A89" s="569"/>
      <c r="B89" s="572"/>
      <c r="C89" s="573"/>
      <c r="D89" s="573"/>
      <c r="E89" s="198"/>
      <c r="F89" s="406">
        <f>SUM(F90:F102)</f>
        <v>100</v>
      </c>
    </row>
    <row r="90" spans="1:17" ht="38.1" customHeight="1" x14ac:dyDescent="0.55000000000000004">
      <c r="A90" s="574" t="s">
        <v>425</v>
      </c>
      <c r="B90" s="298" t="s">
        <v>203</v>
      </c>
      <c r="C90" s="368">
        <v>48</v>
      </c>
      <c r="D90" s="327" t="s">
        <v>332</v>
      </c>
      <c r="E90" s="298"/>
      <c r="F90" s="350">
        <v>5</v>
      </c>
    </row>
    <row r="91" spans="1:17" ht="30" customHeight="1" x14ac:dyDescent="0.55000000000000004">
      <c r="A91" s="575"/>
      <c r="B91" s="304" t="s">
        <v>203</v>
      </c>
      <c r="C91" s="367">
        <v>49</v>
      </c>
      <c r="D91" s="324" t="s">
        <v>426</v>
      </c>
      <c r="E91" s="304"/>
      <c r="F91" s="356">
        <v>5</v>
      </c>
    </row>
    <row r="92" spans="1:17" ht="40" customHeight="1" x14ac:dyDescent="0.55000000000000004">
      <c r="A92" s="575"/>
      <c r="B92" s="304" t="s">
        <v>203</v>
      </c>
      <c r="C92" s="367">
        <v>50</v>
      </c>
      <c r="D92" s="324" t="s">
        <v>427</v>
      </c>
      <c r="E92" s="304"/>
      <c r="F92" s="297">
        <v>10</v>
      </c>
      <c r="N92" s="334"/>
    </row>
    <row r="93" spans="1:17" ht="38.1" customHeight="1" x14ac:dyDescent="0.55000000000000004">
      <c r="A93" s="576"/>
      <c r="B93" s="329" t="s">
        <v>203</v>
      </c>
      <c r="C93" s="366">
        <v>51</v>
      </c>
      <c r="D93" s="319" t="s">
        <v>189</v>
      </c>
      <c r="E93" s="329"/>
      <c r="F93" s="407">
        <v>10</v>
      </c>
      <c r="N93" s="334"/>
    </row>
    <row r="94" spans="1:17" ht="38.1" customHeight="1" x14ac:dyDescent="0.55000000000000004">
      <c r="A94" s="577" t="s">
        <v>343</v>
      </c>
      <c r="B94" s="298" t="s">
        <v>203</v>
      </c>
      <c r="C94" s="368">
        <v>52</v>
      </c>
      <c r="D94" s="292" t="s">
        <v>193</v>
      </c>
      <c r="E94" s="298"/>
      <c r="F94" s="293">
        <v>10</v>
      </c>
    </row>
    <row r="95" spans="1:17" ht="38.1" customHeight="1" x14ac:dyDescent="0.55000000000000004">
      <c r="A95" s="578"/>
      <c r="B95" s="304" t="s">
        <v>203</v>
      </c>
      <c r="C95" s="367">
        <v>53</v>
      </c>
      <c r="D95" s="295" t="s">
        <v>245</v>
      </c>
      <c r="E95" s="304"/>
      <c r="F95" s="297">
        <v>10</v>
      </c>
      <c r="H95" s="408"/>
    </row>
    <row r="96" spans="1:17" ht="30" customHeight="1" x14ac:dyDescent="0.55000000000000004">
      <c r="A96" s="578"/>
      <c r="B96" s="304" t="s">
        <v>203</v>
      </c>
      <c r="C96" s="367">
        <v>54</v>
      </c>
      <c r="D96" s="295" t="s">
        <v>195</v>
      </c>
      <c r="E96" s="304"/>
      <c r="F96" s="297">
        <v>10</v>
      </c>
      <c r="H96" s="408"/>
    </row>
    <row r="97" spans="1:8" ht="30" customHeight="1" x14ac:dyDescent="0.55000000000000004">
      <c r="A97" s="579"/>
      <c r="B97" s="300" t="s">
        <v>203</v>
      </c>
      <c r="C97" s="330">
        <v>55</v>
      </c>
      <c r="D97" s="301" t="s">
        <v>196</v>
      </c>
      <c r="E97" s="300"/>
      <c r="F97" s="303">
        <v>10</v>
      </c>
      <c r="H97" s="408"/>
    </row>
    <row r="98" spans="1:8" ht="38.1" customHeight="1" x14ac:dyDescent="0.55000000000000004">
      <c r="A98" s="577" t="s">
        <v>344</v>
      </c>
      <c r="B98" s="298" t="s">
        <v>203</v>
      </c>
      <c r="C98" s="368">
        <v>56</v>
      </c>
      <c r="D98" s="327" t="s">
        <v>428</v>
      </c>
      <c r="E98" s="298"/>
      <c r="F98" s="293">
        <v>5</v>
      </c>
      <c r="H98" s="408"/>
    </row>
    <row r="99" spans="1:8" ht="30" customHeight="1" x14ac:dyDescent="0.55000000000000004">
      <c r="A99" s="580"/>
      <c r="B99" s="304" t="s">
        <v>203</v>
      </c>
      <c r="C99" s="367">
        <v>57</v>
      </c>
      <c r="D99" s="295" t="s">
        <v>198</v>
      </c>
      <c r="E99" s="304"/>
      <c r="F99" s="297">
        <v>5</v>
      </c>
      <c r="H99" s="408"/>
    </row>
    <row r="100" spans="1:8" ht="50.1" customHeight="1" x14ac:dyDescent="0.55000000000000004">
      <c r="A100" s="580"/>
      <c r="B100" s="304" t="s">
        <v>203</v>
      </c>
      <c r="C100" s="367">
        <v>58</v>
      </c>
      <c r="D100" s="295" t="s">
        <v>199</v>
      </c>
      <c r="E100" s="304"/>
      <c r="F100" s="297">
        <v>10</v>
      </c>
      <c r="H100" s="408"/>
    </row>
    <row r="101" spans="1:8" ht="38.1" customHeight="1" x14ac:dyDescent="0.55000000000000004">
      <c r="A101" s="580"/>
      <c r="B101" s="304" t="s">
        <v>203</v>
      </c>
      <c r="C101" s="409">
        <v>59</v>
      </c>
      <c r="D101" s="295" t="s">
        <v>200</v>
      </c>
      <c r="E101" s="304"/>
      <c r="F101" s="297">
        <v>5</v>
      </c>
      <c r="H101" s="408"/>
    </row>
    <row r="102" spans="1:8" ht="38.1" customHeight="1" x14ac:dyDescent="0.55000000000000004">
      <c r="A102" s="581"/>
      <c r="B102" s="300" t="s">
        <v>203</v>
      </c>
      <c r="C102" s="410">
        <v>60</v>
      </c>
      <c r="D102" s="301" t="s">
        <v>201</v>
      </c>
      <c r="E102" s="300"/>
      <c r="F102" s="303">
        <v>5</v>
      </c>
      <c r="H102" s="408"/>
    </row>
    <row r="103" spans="1:8" ht="30" customHeight="1" x14ac:dyDescent="0.55000000000000004">
      <c r="A103" s="582" t="s">
        <v>243</v>
      </c>
      <c r="B103" s="584" t="s">
        <v>429</v>
      </c>
      <c r="C103" s="585"/>
      <c r="D103" s="585"/>
      <c r="E103" s="309"/>
      <c r="F103" s="310" t="s">
        <v>61</v>
      </c>
      <c r="H103" s="408"/>
    </row>
    <row r="104" spans="1:8" ht="30" customHeight="1" x14ac:dyDescent="0.55000000000000004">
      <c r="A104" s="583"/>
      <c r="B104" s="586"/>
      <c r="C104" s="587"/>
      <c r="D104" s="587"/>
      <c r="E104" s="311"/>
      <c r="F104" s="411">
        <f>SUM(F105:F114,F121)</f>
        <v>150</v>
      </c>
    </row>
    <row r="105" spans="1:8" ht="38.1" customHeight="1" x14ac:dyDescent="0.55000000000000004">
      <c r="A105" s="588" t="s">
        <v>345</v>
      </c>
      <c r="B105" s="298" t="s">
        <v>203</v>
      </c>
      <c r="C105" s="368">
        <v>61</v>
      </c>
      <c r="D105" s="292" t="s">
        <v>175</v>
      </c>
      <c r="E105" s="298"/>
      <c r="F105" s="293">
        <v>10</v>
      </c>
    </row>
    <row r="106" spans="1:8" ht="47.25" customHeight="1" x14ac:dyDescent="0.55000000000000004">
      <c r="A106" s="589"/>
      <c r="B106" s="304" t="s">
        <v>203</v>
      </c>
      <c r="C106" s="367">
        <v>62</v>
      </c>
      <c r="D106" s="295" t="s">
        <v>176</v>
      </c>
      <c r="E106" s="304"/>
      <c r="F106" s="297">
        <v>10</v>
      </c>
    </row>
    <row r="107" spans="1:8" ht="50.1" customHeight="1" x14ac:dyDescent="0.55000000000000004">
      <c r="A107" s="589"/>
      <c r="B107" s="304" t="s">
        <v>203</v>
      </c>
      <c r="C107" s="367">
        <v>63</v>
      </c>
      <c r="D107" s="295" t="s">
        <v>177</v>
      </c>
      <c r="E107" s="304"/>
      <c r="F107" s="297">
        <v>10</v>
      </c>
    </row>
    <row r="108" spans="1:8" ht="38.1" customHeight="1" x14ac:dyDescent="0.55000000000000004">
      <c r="A108" s="590"/>
      <c r="B108" s="300" t="s">
        <v>203</v>
      </c>
      <c r="C108" s="330">
        <v>64</v>
      </c>
      <c r="D108" s="301" t="s">
        <v>242</v>
      </c>
      <c r="E108" s="300"/>
      <c r="F108" s="303">
        <v>10</v>
      </c>
    </row>
    <row r="109" spans="1:8" ht="38.1" customHeight="1" x14ac:dyDescent="0.55000000000000004">
      <c r="A109" s="563" t="s">
        <v>430</v>
      </c>
      <c r="B109" s="298" t="s">
        <v>203</v>
      </c>
      <c r="C109" s="368">
        <v>65</v>
      </c>
      <c r="D109" s="292" t="s">
        <v>348</v>
      </c>
      <c r="E109" s="298"/>
      <c r="F109" s="293">
        <v>10</v>
      </c>
    </row>
    <row r="110" spans="1:8" ht="30" customHeight="1" x14ac:dyDescent="0.55000000000000004">
      <c r="A110" s="564"/>
      <c r="B110" s="304" t="s">
        <v>203</v>
      </c>
      <c r="C110" s="367">
        <v>66</v>
      </c>
      <c r="D110" s="295" t="s">
        <v>173</v>
      </c>
      <c r="E110" s="304"/>
      <c r="F110" s="297">
        <v>10</v>
      </c>
    </row>
    <row r="111" spans="1:8" ht="38.1" customHeight="1" x14ac:dyDescent="0.55000000000000004">
      <c r="A111" s="565"/>
      <c r="B111" s="300" t="s">
        <v>203</v>
      </c>
      <c r="C111" s="330">
        <v>67</v>
      </c>
      <c r="D111" s="301" t="s">
        <v>174</v>
      </c>
      <c r="E111" s="300"/>
      <c r="F111" s="303">
        <v>10</v>
      </c>
    </row>
    <row r="112" spans="1:8" ht="30" customHeight="1" x14ac:dyDescent="0.55000000000000004">
      <c r="A112" s="563" t="s">
        <v>346</v>
      </c>
      <c r="B112" s="298" t="s">
        <v>203</v>
      </c>
      <c r="C112" s="368">
        <v>68</v>
      </c>
      <c r="D112" s="292" t="s">
        <v>169</v>
      </c>
      <c r="E112" s="298"/>
      <c r="F112" s="293">
        <v>10</v>
      </c>
    </row>
    <row r="113" spans="1:6" ht="38.1" customHeight="1" x14ac:dyDescent="0.55000000000000004">
      <c r="A113" s="564"/>
      <c r="B113" s="304" t="s">
        <v>203</v>
      </c>
      <c r="C113" s="409">
        <v>69</v>
      </c>
      <c r="D113" s="295" t="s">
        <v>431</v>
      </c>
      <c r="E113" s="304"/>
      <c r="F113" s="297">
        <v>10</v>
      </c>
    </row>
    <row r="114" spans="1:6" ht="50.1" customHeight="1" x14ac:dyDescent="0.55000000000000004">
      <c r="A114" s="565"/>
      <c r="B114" s="300" t="s">
        <v>203</v>
      </c>
      <c r="C114" s="410">
        <v>70</v>
      </c>
      <c r="D114" s="301" t="s">
        <v>349</v>
      </c>
      <c r="E114" s="300"/>
      <c r="F114" s="303">
        <v>10</v>
      </c>
    </row>
    <row r="115" spans="1:6" ht="30" customHeight="1" x14ac:dyDescent="0.55000000000000004">
      <c r="A115" s="588" t="s">
        <v>347</v>
      </c>
      <c r="B115" s="550" t="s">
        <v>203</v>
      </c>
      <c r="C115" s="553">
        <v>71</v>
      </c>
      <c r="D115" s="305" t="s">
        <v>58</v>
      </c>
      <c r="E115" s="595" t="s">
        <v>432</v>
      </c>
      <c r="F115" s="293">
        <v>25</v>
      </c>
    </row>
    <row r="116" spans="1:6" ht="30" customHeight="1" x14ac:dyDescent="0.55000000000000004">
      <c r="A116" s="593"/>
      <c r="B116" s="551"/>
      <c r="C116" s="521"/>
      <c r="D116" s="295" t="s">
        <v>59</v>
      </c>
      <c r="E116" s="596"/>
      <c r="F116" s="297">
        <v>10</v>
      </c>
    </row>
    <row r="117" spans="1:6" ht="30" customHeight="1" x14ac:dyDescent="0.55000000000000004">
      <c r="A117" s="593"/>
      <c r="B117" s="551"/>
      <c r="C117" s="521"/>
      <c r="D117" s="295" t="s">
        <v>58</v>
      </c>
      <c r="E117" s="597" t="s">
        <v>433</v>
      </c>
      <c r="F117" s="297">
        <v>35</v>
      </c>
    </row>
    <row r="118" spans="1:6" ht="30" customHeight="1" x14ac:dyDescent="0.55000000000000004">
      <c r="A118" s="593"/>
      <c r="B118" s="551"/>
      <c r="C118" s="521"/>
      <c r="D118" s="295" t="s">
        <v>83</v>
      </c>
      <c r="E118" s="597"/>
      <c r="F118" s="297">
        <v>15</v>
      </c>
    </row>
    <row r="119" spans="1:6" ht="30" customHeight="1" x14ac:dyDescent="0.55000000000000004">
      <c r="A119" s="593"/>
      <c r="B119" s="551"/>
      <c r="C119" s="521"/>
      <c r="D119" s="295" t="s">
        <v>58</v>
      </c>
      <c r="E119" s="597" t="s">
        <v>254</v>
      </c>
      <c r="F119" s="297">
        <v>45</v>
      </c>
    </row>
    <row r="120" spans="1:6" ht="30" customHeight="1" x14ac:dyDescent="0.55000000000000004">
      <c r="A120" s="593"/>
      <c r="B120" s="551"/>
      <c r="C120" s="521"/>
      <c r="D120" s="295" t="s">
        <v>83</v>
      </c>
      <c r="E120" s="597"/>
      <c r="F120" s="297">
        <v>20</v>
      </c>
    </row>
    <row r="121" spans="1:6" ht="30" customHeight="1" x14ac:dyDescent="0.55000000000000004">
      <c r="A121" s="593"/>
      <c r="B121" s="551"/>
      <c r="C121" s="521"/>
      <c r="D121" s="295" t="s">
        <v>58</v>
      </c>
      <c r="E121" s="597" t="s">
        <v>255</v>
      </c>
      <c r="F121" s="313">
        <v>50</v>
      </c>
    </row>
    <row r="122" spans="1:6" ht="30" customHeight="1" x14ac:dyDescent="0.55000000000000004">
      <c r="A122" s="594"/>
      <c r="B122" s="552"/>
      <c r="C122" s="522"/>
      <c r="D122" s="301" t="s">
        <v>83</v>
      </c>
      <c r="E122" s="598"/>
      <c r="F122" s="303">
        <v>25</v>
      </c>
    </row>
    <row r="123" spans="1:6" ht="30" customHeight="1" x14ac:dyDescent="0.4">
      <c r="A123" s="591" t="s">
        <v>434</v>
      </c>
      <c r="B123" s="592"/>
      <c r="C123" s="592"/>
      <c r="D123" s="592"/>
      <c r="E123" s="592"/>
      <c r="F123" s="592"/>
    </row>
    <row r="124" spans="1:6" ht="20.100000000000001" customHeight="1" x14ac:dyDescent="0.55000000000000004">
      <c r="A124" s="190" t="s">
        <v>435</v>
      </c>
    </row>
    <row r="125" spans="1:6" ht="20.100000000000001" customHeight="1" x14ac:dyDescent="0.55000000000000004">
      <c r="A125" s="190" t="s">
        <v>436</v>
      </c>
    </row>
    <row r="126" spans="1:6" ht="20.100000000000001" customHeight="1" x14ac:dyDescent="0.55000000000000004">
      <c r="A126" s="378" t="s">
        <v>437</v>
      </c>
      <c r="E126" s="412" t="s">
        <v>438</v>
      </c>
    </row>
    <row r="127" spans="1:6" ht="20.100000000000001" customHeight="1" x14ac:dyDescent="0.55000000000000004">
      <c r="A127" s="378" t="s">
        <v>439</v>
      </c>
      <c r="E127" s="412" t="s">
        <v>440</v>
      </c>
    </row>
  </sheetData>
  <mergeCells count="70">
    <mergeCell ref="A123:F123"/>
    <mergeCell ref="A112:A114"/>
    <mergeCell ref="A115:A122"/>
    <mergeCell ref="B115:B122"/>
    <mergeCell ref="C115:C122"/>
    <mergeCell ref="E115:E116"/>
    <mergeCell ref="E117:E118"/>
    <mergeCell ref="E119:E120"/>
    <mergeCell ref="E121:E122"/>
    <mergeCell ref="A109:A111"/>
    <mergeCell ref="A80:A84"/>
    <mergeCell ref="E82:E84"/>
    <mergeCell ref="A85:A87"/>
    <mergeCell ref="A88:A89"/>
    <mergeCell ref="B88:D89"/>
    <mergeCell ref="A90:A93"/>
    <mergeCell ref="A94:A97"/>
    <mergeCell ref="A98:A102"/>
    <mergeCell ref="A103:A104"/>
    <mergeCell ref="B103:D104"/>
    <mergeCell ref="A105:A108"/>
    <mergeCell ref="A74:A79"/>
    <mergeCell ref="A54:A56"/>
    <mergeCell ref="A57:A59"/>
    <mergeCell ref="A60:A62"/>
    <mergeCell ref="B60:B62"/>
    <mergeCell ref="A63:A64"/>
    <mergeCell ref="A65:A67"/>
    <mergeCell ref="A69:A71"/>
    <mergeCell ref="A72:A73"/>
    <mergeCell ref="B72:D73"/>
    <mergeCell ref="C25:C26"/>
    <mergeCell ref="E25:E26"/>
    <mergeCell ref="C29:C31"/>
    <mergeCell ref="E29:E31"/>
    <mergeCell ref="C60:C62"/>
    <mergeCell ref="E60:E62"/>
    <mergeCell ref="A40:F40"/>
    <mergeCell ref="A41:A42"/>
    <mergeCell ref="B41:D42"/>
    <mergeCell ref="A43:A45"/>
    <mergeCell ref="A46:A48"/>
    <mergeCell ref="A49:A53"/>
    <mergeCell ref="A32:A33"/>
    <mergeCell ref="B32:B33"/>
    <mergeCell ref="C32:C33"/>
    <mergeCell ref="E32:E33"/>
    <mergeCell ref="A27:A28"/>
    <mergeCell ref="A29:A31"/>
    <mergeCell ref="B29:B31"/>
    <mergeCell ref="C16:F16"/>
    <mergeCell ref="H16:N16"/>
    <mergeCell ref="C17:F17"/>
    <mergeCell ref="H17:N17"/>
    <mergeCell ref="C18:F19"/>
    <mergeCell ref="H18:N18"/>
    <mergeCell ref="A21:A22"/>
    <mergeCell ref="B21:E22"/>
    <mergeCell ref="A23:A26"/>
    <mergeCell ref="B23:B24"/>
    <mergeCell ref="C23:C24"/>
    <mergeCell ref="E23:E24"/>
    <mergeCell ref="B25:B26"/>
    <mergeCell ref="C15:F15"/>
    <mergeCell ref="H15:N15"/>
    <mergeCell ref="A2:F2"/>
    <mergeCell ref="C13:F13"/>
    <mergeCell ref="H13:N13"/>
    <mergeCell ref="C14:F14"/>
    <mergeCell ref="H14:N14"/>
  </mergeCells>
  <pageMargins left="0.28000000000000003" right="0.1" top="0.25" bottom="0.17" header="0.17" footer="0.17"/>
  <pageSetup paperSize="9" scale="98" fitToHeight="0" orientation="portrait" r:id="rId1"/>
  <rowBreaks count="5" manualBreakCount="5">
    <brk id="20" max="16383" man="1"/>
    <brk id="40" max="16383" man="1"/>
    <brk id="71" max="16383" man="1"/>
    <brk id="87" max="16383" man="1"/>
    <brk id="10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pageSetUpPr fitToPage="1"/>
  </sheetPr>
  <dimension ref="A1:O117"/>
  <sheetViews>
    <sheetView tabSelected="1" showWhiteSpace="0" zoomScale="71" zoomScaleNormal="71" workbookViewId="0">
      <selection activeCell="N103" sqref="N103"/>
    </sheetView>
  </sheetViews>
  <sheetFormatPr defaultColWidth="8.68359375" defaultRowHeight="15.3" x14ac:dyDescent="0.55000000000000004"/>
  <cols>
    <col min="1" max="1" width="17" style="194" customWidth="1"/>
    <col min="2" max="2" width="5.83984375" style="103" customWidth="1"/>
    <col min="3" max="3" width="6.26171875" style="103" customWidth="1"/>
    <col min="4" max="4" width="38.68359375" style="104" customWidth="1"/>
    <col min="5" max="5" width="11.578125" style="103" customWidth="1"/>
    <col min="6" max="6" width="22" style="195" customWidth="1"/>
    <col min="7" max="7" width="18.68359375" style="245" customWidth="1"/>
    <col min="8" max="8" width="22.83984375" style="245" customWidth="1"/>
    <col min="9" max="9" width="24.41796875" style="245" customWidth="1"/>
    <col min="10" max="10" width="20.578125" style="245" customWidth="1"/>
    <col min="11" max="11" width="18.68359375" style="245" customWidth="1"/>
    <col min="12" max="16384" width="8.68359375" style="192"/>
  </cols>
  <sheetData>
    <row r="1" spans="1:11" ht="16.2" x14ac:dyDescent="0.55000000000000004">
      <c r="A1" s="199" t="s">
        <v>53</v>
      </c>
      <c r="B1" s="1"/>
      <c r="C1" s="1"/>
      <c r="D1" s="14"/>
      <c r="E1" s="1"/>
      <c r="F1" s="200"/>
      <c r="G1" s="241"/>
      <c r="H1" s="241"/>
      <c r="I1" s="241"/>
      <c r="J1" s="241"/>
      <c r="K1" s="241"/>
    </row>
    <row r="2" spans="1:11" ht="16.2" x14ac:dyDescent="0.55000000000000004">
      <c r="A2" s="201" t="s">
        <v>362</v>
      </c>
      <c r="B2" s="1"/>
      <c r="C2" s="1"/>
      <c r="D2" s="14"/>
      <c r="E2" s="1"/>
      <c r="F2" s="200"/>
      <c r="G2" s="241"/>
      <c r="H2" s="241"/>
      <c r="I2" s="241"/>
      <c r="J2" s="241"/>
      <c r="K2" s="241"/>
    </row>
    <row r="3" spans="1:11" ht="16.2" x14ac:dyDescent="0.55000000000000004">
      <c r="A3" s="202"/>
      <c r="B3" s="203"/>
      <c r="C3" s="203"/>
      <c r="D3" s="203"/>
      <c r="E3" s="203"/>
      <c r="F3" s="204"/>
      <c r="G3" s="241"/>
      <c r="H3" s="241"/>
      <c r="I3" s="241"/>
      <c r="J3" s="241"/>
      <c r="K3" s="241"/>
    </row>
    <row r="4" spans="1:11" ht="31.5" customHeight="1" x14ac:dyDescent="0.55000000000000004">
      <c r="A4" s="202"/>
      <c r="B4" s="203"/>
      <c r="C4" s="203"/>
      <c r="D4" s="491" t="s">
        <v>263</v>
      </c>
      <c r="E4" s="491"/>
      <c r="F4" s="491"/>
      <c r="G4" s="491"/>
      <c r="H4" s="491"/>
      <c r="I4" s="491"/>
      <c r="J4" s="491"/>
      <c r="K4" s="491"/>
    </row>
    <row r="5" spans="1:11" ht="16.2" x14ac:dyDescent="0.55000000000000004">
      <c r="A5" s="202"/>
      <c r="B5" s="203"/>
      <c r="C5" s="203"/>
      <c r="D5" s="203"/>
      <c r="E5" s="203"/>
      <c r="F5" s="204"/>
      <c r="G5" s="241"/>
      <c r="H5" s="241"/>
      <c r="I5" s="241"/>
      <c r="J5" s="241"/>
      <c r="K5" s="241"/>
    </row>
    <row r="6" spans="1:11" ht="15.9" x14ac:dyDescent="0.55000000000000004">
      <c r="A6" s="202"/>
      <c r="B6" s="203"/>
      <c r="C6" s="203"/>
      <c r="D6" s="698"/>
      <c r="E6" s="231" t="s">
        <v>272</v>
      </c>
      <c r="F6" s="232" t="s">
        <v>273</v>
      </c>
      <c r="G6" s="227" t="s">
        <v>274</v>
      </c>
      <c r="H6" s="228" t="s">
        <v>275</v>
      </c>
      <c r="I6" s="229" t="s">
        <v>276</v>
      </c>
      <c r="J6" s="230" t="s">
        <v>278</v>
      </c>
      <c r="K6" s="225" t="s">
        <v>280</v>
      </c>
    </row>
    <row r="7" spans="1:11" ht="32.4" x14ac:dyDescent="0.55000000000000004">
      <c r="A7" s="202"/>
      <c r="B7" s="203"/>
      <c r="C7" s="203"/>
      <c r="D7" s="699"/>
      <c r="E7" s="233"/>
      <c r="F7" s="234"/>
      <c r="G7" s="235"/>
      <c r="H7" s="236"/>
      <c r="I7" s="237" t="s">
        <v>277</v>
      </c>
      <c r="J7" s="238" t="s">
        <v>279</v>
      </c>
      <c r="K7" s="239" t="s">
        <v>281</v>
      </c>
    </row>
    <row r="8" spans="1:11" ht="24" customHeight="1" x14ac:dyDescent="0.55000000000000004">
      <c r="A8" s="202"/>
      <c r="B8" s="203"/>
      <c r="C8" s="203"/>
      <c r="D8" s="314" t="s">
        <v>258</v>
      </c>
      <c r="E8" s="226">
        <v>80</v>
      </c>
      <c r="F8" s="226">
        <v>90</v>
      </c>
      <c r="G8" s="226">
        <v>100</v>
      </c>
      <c r="H8" s="226">
        <v>120</v>
      </c>
      <c r="I8" s="226">
        <v>140</v>
      </c>
      <c r="J8" s="226">
        <v>150</v>
      </c>
      <c r="K8" s="226">
        <v>180</v>
      </c>
    </row>
    <row r="9" spans="1:11" ht="24" customHeight="1" x14ac:dyDescent="0.55000000000000004">
      <c r="A9" s="206"/>
      <c r="B9" s="203"/>
      <c r="C9" s="203"/>
      <c r="D9" s="315" t="s">
        <v>259</v>
      </c>
      <c r="E9" s="205">
        <v>100</v>
      </c>
      <c r="F9" s="205">
        <v>180</v>
      </c>
      <c r="G9" s="205">
        <v>240</v>
      </c>
      <c r="H9" s="205">
        <v>340</v>
      </c>
      <c r="I9" s="205">
        <v>400</v>
      </c>
      <c r="J9" s="205">
        <v>420</v>
      </c>
      <c r="K9" s="205">
        <v>450</v>
      </c>
    </row>
    <row r="10" spans="1:11" ht="24" customHeight="1" x14ac:dyDescent="0.55000000000000004">
      <c r="A10" s="206"/>
      <c r="B10" s="203"/>
      <c r="C10" s="203"/>
      <c r="D10" s="316" t="s">
        <v>240</v>
      </c>
      <c r="E10" s="205">
        <v>5</v>
      </c>
      <c r="F10" s="205">
        <v>5</v>
      </c>
      <c r="G10" s="205">
        <v>10</v>
      </c>
      <c r="H10" s="205">
        <v>40</v>
      </c>
      <c r="I10" s="205">
        <v>90</v>
      </c>
      <c r="J10" s="205">
        <v>110</v>
      </c>
      <c r="K10" s="205">
        <v>120</v>
      </c>
    </row>
    <row r="11" spans="1:11" ht="24" customHeight="1" x14ac:dyDescent="0.55000000000000004">
      <c r="A11" s="206"/>
      <c r="B11" s="203"/>
      <c r="C11" s="203"/>
      <c r="D11" s="317" t="s">
        <v>241</v>
      </c>
      <c r="E11" s="205">
        <v>5</v>
      </c>
      <c r="F11" s="205">
        <v>5</v>
      </c>
      <c r="G11" s="205">
        <v>10</v>
      </c>
      <c r="H11" s="205">
        <v>40</v>
      </c>
      <c r="I11" s="205">
        <v>70</v>
      </c>
      <c r="J11" s="205">
        <v>80</v>
      </c>
      <c r="K11" s="205">
        <v>100</v>
      </c>
    </row>
    <row r="12" spans="1:11" ht="36.6" customHeight="1" x14ac:dyDescent="0.55000000000000004">
      <c r="A12" s="206"/>
      <c r="B12" s="203"/>
      <c r="C12" s="203"/>
      <c r="D12" s="318" t="s">
        <v>260</v>
      </c>
      <c r="E12" s="205">
        <v>10</v>
      </c>
      <c r="F12" s="205">
        <v>20</v>
      </c>
      <c r="G12" s="205">
        <v>40</v>
      </c>
      <c r="H12" s="205">
        <v>60</v>
      </c>
      <c r="I12" s="205">
        <v>100</v>
      </c>
      <c r="J12" s="205">
        <v>140</v>
      </c>
      <c r="K12" s="205">
        <v>150</v>
      </c>
    </row>
    <row r="13" spans="1:11" ht="24" customHeight="1" x14ac:dyDescent="0.55000000000000004">
      <c r="A13" s="206"/>
      <c r="B13" s="203"/>
      <c r="C13" s="203"/>
      <c r="D13" s="207" t="s">
        <v>264</v>
      </c>
      <c r="E13" s="208">
        <v>200</v>
      </c>
      <c r="F13" s="240">
        <v>300</v>
      </c>
      <c r="G13" s="209">
        <v>400</v>
      </c>
      <c r="H13" s="210">
        <v>600</v>
      </c>
      <c r="I13" s="211">
        <v>800</v>
      </c>
      <c r="J13" s="212">
        <v>900</v>
      </c>
      <c r="K13" s="208">
        <v>1000</v>
      </c>
    </row>
    <row r="14" spans="1:11" ht="16.2" x14ac:dyDescent="0.55000000000000004">
      <c r="A14" s="206"/>
      <c r="B14" s="203"/>
      <c r="C14" s="203"/>
      <c r="D14" s="213"/>
      <c r="E14" s="214"/>
      <c r="F14" s="215"/>
      <c r="G14" s="242"/>
      <c r="H14" s="242"/>
      <c r="I14" s="242"/>
      <c r="J14" s="242"/>
      <c r="K14" s="243"/>
    </row>
    <row r="15" spans="1:11" s="193" customFormat="1" ht="16.5" customHeight="1" x14ac:dyDescent="0.55000000000000004">
      <c r="A15" s="655" t="s">
        <v>202</v>
      </c>
      <c r="B15" s="657" t="s">
        <v>111</v>
      </c>
      <c r="C15" s="657"/>
      <c r="D15" s="657"/>
      <c r="E15" s="657"/>
      <c r="F15" s="347"/>
      <c r="G15" s="347"/>
      <c r="H15" s="347"/>
      <c r="I15" s="347"/>
      <c r="J15" s="347"/>
      <c r="K15" s="347" t="s">
        <v>262</v>
      </c>
    </row>
    <row r="16" spans="1:11" s="193" customFormat="1" ht="15.9" x14ac:dyDescent="0.5">
      <c r="A16" s="656"/>
      <c r="B16" s="512"/>
      <c r="C16" s="512"/>
      <c r="D16" s="512"/>
      <c r="E16" s="512"/>
      <c r="F16" s="348"/>
      <c r="G16" s="348"/>
      <c r="H16" s="348"/>
      <c r="I16" s="348"/>
      <c r="J16" s="348"/>
      <c r="K16" s="348">
        <v>180</v>
      </c>
    </row>
    <row r="17" spans="1:11" s="188" customFormat="1" ht="44.5" customHeight="1" x14ac:dyDescent="0.55000000000000004">
      <c r="A17" s="659" t="s">
        <v>246</v>
      </c>
      <c r="B17" s="649" t="s">
        <v>203</v>
      </c>
      <c r="C17" s="649">
        <v>1</v>
      </c>
      <c r="D17" s="635" t="s">
        <v>445</v>
      </c>
      <c r="E17" s="605"/>
      <c r="F17" s="605"/>
      <c r="G17" s="605"/>
      <c r="H17" s="605"/>
      <c r="I17" s="606"/>
      <c r="J17" s="700" t="s">
        <v>247</v>
      </c>
      <c r="K17" s="217">
        <v>20</v>
      </c>
    </row>
    <row r="18" spans="1:11" s="188" customFormat="1" ht="64.5" customHeight="1" x14ac:dyDescent="0.55000000000000004">
      <c r="A18" s="660"/>
      <c r="B18" s="662"/>
      <c r="C18" s="662"/>
      <c r="D18" s="610" t="s">
        <v>446</v>
      </c>
      <c r="E18" s="611"/>
      <c r="F18" s="611"/>
      <c r="G18" s="611"/>
      <c r="H18" s="611"/>
      <c r="I18" s="612"/>
      <c r="J18" s="702"/>
      <c r="K18" s="344">
        <v>70</v>
      </c>
    </row>
    <row r="19" spans="1:11" s="188" customFormat="1" ht="29.5" customHeight="1" x14ac:dyDescent="0.55000000000000004">
      <c r="A19" s="660"/>
      <c r="B19" s="643" t="s">
        <v>203</v>
      </c>
      <c r="C19" s="645">
        <v>2</v>
      </c>
      <c r="D19" s="635" t="s">
        <v>57</v>
      </c>
      <c r="E19" s="605"/>
      <c r="F19" s="605"/>
      <c r="G19" s="605"/>
      <c r="H19" s="605"/>
      <c r="I19" s="606"/>
      <c r="J19" s="704" t="s">
        <v>247</v>
      </c>
      <c r="K19" s="217">
        <v>25</v>
      </c>
    </row>
    <row r="20" spans="1:11" s="188" customFormat="1" ht="35.5" customHeight="1" x14ac:dyDescent="0.55000000000000004">
      <c r="A20" s="648"/>
      <c r="B20" s="644"/>
      <c r="C20" s="646"/>
      <c r="D20" s="706" t="s">
        <v>3</v>
      </c>
      <c r="E20" s="707"/>
      <c r="F20" s="707"/>
      <c r="G20" s="707"/>
      <c r="H20" s="707"/>
      <c r="I20" s="708"/>
      <c r="J20" s="705"/>
      <c r="K20" s="43">
        <v>40</v>
      </c>
    </row>
    <row r="21" spans="1:11" s="188" customFormat="1" ht="36" customHeight="1" x14ac:dyDescent="0.55000000000000004">
      <c r="A21" s="647" t="s">
        <v>261</v>
      </c>
      <c r="B21" s="649" t="s">
        <v>203</v>
      </c>
      <c r="C21" s="413">
        <v>3</v>
      </c>
      <c r="D21" s="635" t="s">
        <v>209</v>
      </c>
      <c r="E21" s="605"/>
      <c r="F21" s="605"/>
      <c r="G21" s="605"/>
      <c r="H21" s="605"/>
      <c r="I21" s="606"/>
      <c r="J21" s="345"/>
      <c r="K21" s="249">
        <v>5</v>
      </c>
    </row>
    <row r="22" spans="1:11" s="188" customFormat="1" ht="44.1" customHeight="1" x14ac:dyDescent="0.55000000000000004">
      <c r="A22" s="648"/>
      <c r="B22" s="650"/>
      <c r="C22" s="413">
        <v>4</v>
      </c>
      <c r="D22" s="610" t="s">
        <v>210</v>
      </c>
      <c r="E22" s="611"/>
      <c r="F22" s="611"/>
      <c r="G22" s="611"/>
      <c r="H22" s="611"/>
      <c r="I22" s="612"/>
      <c r="J22" s="346"/>
      <c r="K22" s="251">
        <v>10</v>
      </c>
    </row>
    <row r="23" spans="1:11" s="188" customFormat="1" ht="23.5" customHeight="1" x14ac:dyDescent="0.55000000000000004">
      <c r="A23" s="647" t="s">
        <v>248</v>
      </c>
      <c r="B23" s="649" t="s">
        <v>203</v>
      </c>
      <c r="C23" s="662">
        <v>5</v>
      </c>
      <c r="D23" s="635" t="s">
        <v>212</v>
      </c>
      <c r="E23" s="605"/>
      <c r="F23" s="605"/>
      <c r="G23" s="605"/>
      <c r="H23" s="605"/>
      <c r="I23" s="606"/>
      <c r="J23" s="700" t="s">
        <v>247</v>
      </c>
      <c r="K23" s="252">
        <v>5</v>
      </c>
    </row>
    <row r="24" spans="1:11" s="188" customFormat="1" ht="32.1" customHeight="1" x14ac:dyDescent="0.55000000000000004">
      <c r="A24" s="660"/>
      <c r="B24" s="661"/>
      <c r="C24" s="663"/>
      <c r="D24" s="607" t="s">
        <v>244</v>
      </c>
      <c r="E24" s="608"/>
      <c r="F24" s="608"/>
      <c r="G24" s="608"/>
      <c r="H24" s="608"/>
      <c r="I24" s="609"/>
      <c r="J24" s="701"/>
      <c r="K24" s="250">
        <v>10</v>
      </c>
    </row>
    <row r="25" spans="1:11" s="188" customFormat="1" ht="42.6" customHeight="1" x14ac:dyDescent="0.55000000000000004">
      <c r="A25" s="648"/>
      <c r="B25" s="662"/>
      <c r="C25" s="658"/>
      <c r="D25" s="610" t="s">
        <v>132</v>
      </c>
      <c r="E25" s="611"/>
      <c r="F25" s="611"/>
      <c r="G25" s="611"/>
      <c r="H25" s="611"/>
      <c r="I25" s="612"/>
      <c r="J25" s="702"/>
      <c r="K25" s="253">
        <v>15</v>
      </c>
    </row>
    <row r="26" spans="1:11" s="188" customFormat="1" ht="43.9" customHeight="1" x14ac:dyDescent="0.55000000000000004">
      <c r="A26" s="647" t="s">
        <v>249</v>
      </c>
      <c r="B26" s="658" t="s">
        <v>203</v>
      </c>
      <c r="C26" s="643">
        <v>6</v>
      </c>
      <c r="D26" s="607" t="s">
        <v>109</v>
      </c>
      <c r="E26" s="608"/>
      <c r="F26" s="608"/>
      <c r="G26" s="608"/>
      <c r="H26" s="608"/>
      <c r="I26" s="609"/>
      <c r="J26" s="700" t="s">
        <v>247</v>
      </c>
      <c r="K26" s="249">
        <v>5</v>
      </c>
    </row>
    <row r="27" spans="1:11" s="188" customFormat="1" ht="30.75" customHeight="1" x14ac:dyDescent="0.55000000000000004">
      <c r="A27" s="648"/>
      <c r="B27" s="650"/>
      <c r="C27" s="644"/>
      <c r="D27" s="607" t="s">
        <v>110</v>
      </c>
      <c r="E27" s="608"/>
      <c r="F27" s="608"/>
      <c r="G27" s="608"/>
      <c r="H27" s="608"/>
      <c r="I27" s="609"/>
      <c r="J27" s="702"/>
      <c r="K27" s="251">
        <v>10</v>
      </c>
    </row>
    <row r="28" spans="1:11" ht="33" customHeight="1" x14ac:dyDescent="0.55000000000000004">
      <c r="A28" s="653" t="s">
        <v>215</v>
      </c>
      <c r="B28" s="653" t="s">
        <v>327</v>
      </c>
      <c r="C28" s="653"/>
      <c r="D28" s="653"/>
      <c r="E28" s="653"/>
      <c r="F28" s="216" t="s">
        <v>112</v>
      </c>
      <c r="G28" s="696"/>
      <c r="H28" s="696"/>
      <c r="I28" s="696"/>
      <c r="J28" s="696"/>
      <c r="K28" s="697"/>
    </row>
    <row r="29" spans="1:11" ht="15.9" x14ac:dyDescent="0.55000000000000004">
      <c r="A29" s="543"/>
      <c r="B29" s="543"/>
      <c r="C29" s="543"/>
      <c r="D29" s="543"/>
      <c r="E29" s="543"/>
      <c r="F29" s="349">
        <f xml:space="preserve"> SUM(F30:F46,F49,F50:F58)</f>
        <v>450</v>
      </c>
      <c r="G29" s="461" t="s">
        <v>62</v>
      </c>
      <c r="H29" s="461" t="s">
        <v>63</v>
      </c>
      <c r="I29" s="461" t="s">
        <v>64</v>
      </c>
      <c r="J29" s="461" t="s">
        <v>65</v>
      </c>
      <c r="K29" s="461" t="s">
        <v>66</v>
      </c>
    </row>
    <row r="30" spans="1:11" s="191" customFormat="1" ht="155.5" customHeight="1" x14ac:dyDescent="0.55000000000000004">
      <c r="A30" s="636" t="s">
        <v>250</v>
      </c>
      <c r="B30" s="220" t="s">
        <v>203</v>
      </c>
      <c r="C30" s="32">
        <v>7</v>
      </c>
      <c r="D30" s="222" t="s">
        <v>267</v>
      </c>
      <c r="E30" s="220"/>
      <c r="F30" s="221">
        <v>5</v>
      </c>
      <c r="G30" s="462" t="s">
        <v>463</v>
      </c>
      <c r="H30" s="462" t="s">
        <v>464</v>
      </c>
      <c r="I30" s="462" t="s">
        <v>465</v>
      </c>
      <c r="J30" s="463" t="s">
        <v>466</v>
      </c>
      <c r="K30" s="464" t="s">
        <v>467</v>
      </c>
    </row>
    <row r="31" spans="1:11" s="191" customFormat="1" ht="111" customHeight="1" x14ac:dyDescent="0.55000000000000004">
      <c r="A31" s="638"/>
      <c r="B31" s="255" t="s">
        <v>203</v>
      </c>
      <c r="C31" s="256">
        <v>8</v>
      </c>
      <c r="D31" s="68" t="s">
        <v>268</v>
      </c>
      <c r="E31" s="255"/>
      <c r="F31" s="257">
        <v>5</v>
      </c>
      <c r="G31" s="462" t="s">
        <v>463</v>
      </c>
      <c r="H31" s="462" t="s">
        <v>464</v>
      </c>
      <c r="I31" s="462" t="s">
        <v>465</v>
      </c>
      <c r="J31" s="463" t="s">
        <v>466</v>
      </c>
      <c r="K31" s="464" t="s">
        <v>467</v>
      </c>
    </row>
    <row r="32" spans="1:11" s="191" customFormat="1" ht="218.5" customHeight="1" x14ac:dyDescent="0.55000000000000004">
      <c r="A32" s="654"/>
      <c r="B32" s="220" t="s">
        <v>203</v>
      </c>
      <c r="C32" s="32">
        <v>9</v>
      </c>
      <c r="D32" s="222" t="s">
        <v>269</v>
      </c>
      <c r="E32" s="220"/>
      <c r="F32" s="221">
        <v>5</v>
      </c>
      <c r="G32" s="465"/>
      <c r="H32" s="465"/>
      <c r="I32" s="465" t="s">
        <v>468</v>
      </c>
      <c r="J32" s="465" t="s">
        <v>469</v>
      </c>
      <c r="K32" s="465" t="s">
        <v>470</v>
      </c>
    </row>
    <row r="33" spans="1:15" s="191" customFormat="1" ht="102" customHeight="1" x14ac:dyDescent="0.55000000000000004">
      <c r="A33" s="640" t="s">
        <v>251</v>
      </c>
      <c r="B33" s="258" t="s">
        <v>203</v>
      </c>
      <c r="C33" s="259">
        <v>10</v>
      </c>
      <c r="D33" s="74" t="s">
        <v>117</v>
      </c>
      <c r="E33" s="258" t="s">
        <v>39</v>
      </c>
      <c r="F33" s="42">
        <v>5</v>
      </c>
      <c r="G33" s="465"/>
      <c r="H33" s="465"/>
      <c r="I33" s="465"/>
      <c r="J33" s="465" t="s">
        <v>471</v>
      </c>
      <c r="K33" s="465" t="s">
        <v>472</v>
      </c>
    </row>
    <row r="34" spans="1:15" s="191" customFormat="1" ht="207" customHeight="1" x14ac:dyDescent="0.55000000000000004">
      <c r="A34" s="640"/>
      <c r="B34" s="220" t="s">
        <v>203</v>
      </c>
      <c r="C34" s="32">
        <v>11</v>
      </c>
      <c r="D34" s="222" t="s">
        <v>270</v>
      </c>
      <c r="E34" s="220"/>
      <c r="F34" s="221">
        <v>5</v>
      </c>
      <c r="G34" s="466" t="s">
        <v>463</v>
      </c>
      <c r="H34" s="466" t="s">
        <v>464</v>
      </c>
      <c r="I34" s="466" t="s">
        <v>465</v>
      </c>
      <c r="J34" s="466" t="s">
        <v>466</v>
      </c>
      <c r="K34" s="466" t="s">
        <v>467</v>
      </c>
    </row>
    <row r="35" spans="1:15" s="191" customFormat="1" ht="225.75" customHeight="1" x14ac:dyDescent="0.55000000000000004">
      <c r="A35" s="640"/>
      <c r="B35" s="260" t="s">
        <v>203</v>
      </c>
      <c r="C35" s="261">
        <v>12</v>
      </c>
      <c r="D35" s="69" t="s">
        <v>271</v>
      </c>
      <c r="E35" s="260"/>
      <c r="F35" s="262">
        <v>5</v>
      </c>
      <c r="G35" s="467" t="s">
        <v>463</v>
      </c>
      <c r="H35" s="467" t="s">
        <v>464</v>
      </c>
      <c r="I35" s="467" t="s">
        <v>465</v>
      </c>
      <c r="J35" s="467" t="s">
        <v>466</v>
      </c>
      <c r="K35" s="467" t="s">
        <v>467</v>
      </c>
    </row>
    <row r="36" spans="1:15" s="191" customFormat="1" ht="48.6" x14ac:dyDescent="0.55000000000000004">
      <c r="A36" s="639" t="s">
        <v>252</v>
      </c>
      <c r="B36" s="258" t="s">
        <v>203</v>
      </c>
      <c r="C36" s="259">
        <v>13</v>
      </c>
      <c r="D36" s="332" t="s">
        <v>322</v>
      </c>
      <c r="E36" s="263"/>
      <c r="F36" s="42">
        <v>15</v>
      </c>
      <c r="G36" s="467" t="s">
        <v>474</v>
      </c>
      <c r="H36" s="467" t="s">
        <v>475</v>
      </c>
      <c r="I36" s="467" t="s">
        <v>476</v>
      </c>
      <c r="J36" s="467" t="s">
        <v>477</v>
      </c>
      <c r="K36" s="467" t="s">
        <v>473</v>
      </c>
    </row>
    <row r="37" spans="1:15" s="191" customFormat="1" ht="32.4" x14ac:dyDescent="0.55000000000000004">
      <c r="A37" s="639"/>
      <c r="B37" s="220" t="s">
        <v>203</v>
      </c>
      <c r="C37" s="32">
        <v>14</v>
      </c>
      <c r="D37" s="332" t="s">
        <v>319</v>
      </c>
      <c r="E37" s="264"/>
      <c r="F37" s="221">
        <v>15</v>
      </c>
      <c r="G37" s="467" t="s">
        <v>474</v>
      </c>
      <c r="H37" s="467" t="s">
        <v>475</v>
      </c>
      <c r="I37" s="467" t="s">
        <v>476</v>
      </c>
      <c r="J37" s="467" t="s">
        <v>477</v>
      </c>
      <c r="K37" s="467" t="s">
        <v>473</v>
      </c>
    </row>
    <row r="38" spans="1:15" s="191" customFormat="1" ht="44.25" customHeight="1" x14ac:dyDescent="0.55000000000000004">
      <c r="A38" s="639"/>
      <c r="B38" s="255" t="s">
        <v>203</v>
      </c>
      <c r="C38" s="256">
        <v>15</v>
      </c>
      <c r="D38" s="332" t="s">
        <v>321</v>
      </c>
      <c r="E38" s="265"/>
      <c r="F38" s="257">
        <v>15</v>
      </c>
      <c r="G38" s="467" t="s">
        <v>474</v>
      </c>
      <c r="H38" s="467" t="s">
        <v>475</v>
      </c>
      <c r="I38" s="467" t="s">
        <v>476</v>
      </c>
      <c r="J38" s="467" t="s">
        <v>477</v>
      </c>
      <c r="K38" s="467" t="s">
        <v>473</v>
      </c>
    </row>
    <row r="39" spans="1:15" s="191" customFormat="1" ht="43.5" customHeight="1" x14ac:dyDescent="0.55000000000000004">
      <c r="A39" s="639"/>
      <c r="B39" s="220" t="s">
        <v>203</v>
      </c>
      <c r="C39" s="32">
        <v>16</v>
      </c>
      <c r="D39" s="332" t="s">
        <v>333</v>
      </c>
      <c r="E39" s="264"/>
      <c r="F39" s="221">
        <v>15</v>
      </c>
      <c r="G39" s="467" t="s">
        <v>474</v>
      </c>
      <c r="H39" s="467" t="s">
        <v>475</v>
      </c>
      <c r="I39" s="467" t="s">
        <v>476</v>
      </c>
      <c r="J39" s="467" t="s">
        <v>477</v>
      </c>
      <c r="K39" s="467" t="s">
        <v>473</v>
      </c>
    </row>
    <row r="40" spans="1:15" s="191" customFormat="1" ht="41.25" customHeight="1" x14ac:dyDescent="0.55000000000000004">
      <c r="A40" s="639"/>
      <c r="B40" s="260" t="s">
        <v>203</v>
      </c>
      <c r="C40" s="261">
        <v>17</v>
      </c>
      <c r="D40" s="332" t="s">
        <v>320</v>
      </c>
      <c r="E40" s="266"/>
      <c r="F40" s="262">
        <v>10</v>
      </c>
      <c r="G40" s="467" t="s">
        <v>478</v>
      </c>
      <c r="H40" s="467" t="s">
        <v>479</v>
      </c>
      <c r="I40" s="467" t="s">
        <v>480</v>
      </c>
      <c r="J40" s="467" t="s">
        <v>481</v>
      </c>
      <c r="K40" s="467" t="s">
        <v>482</v>
      </c>
    </row>
    <row r="41" spans="1:15" s="191" customFormat="1" ht="46.5" customHeight="1" x14ac:dyDescent="0.55000000000000004">
      <c r="A41" s="636" t="s">
        <v>334</v>
      </c>
      <c r="B41" s="73" t="s">
        <v>203</v>
      </c>
      <c r="C41" s="73">
        <v>18</v>
      </c>
      <c r="D41" s="332" t="s">
        <v>351</v>
      </c>
      <c r="E41" s="336"/>
      <c r="F41" s="221">
        <v>30</v>
      </c>
      <c r="G41" s="220"/>
      <c r="H41" s="220"/>
      <c r="I41" s="220" t="s">
        <v>442</v>
      </c>
      <c r="J41" s="220" t="s">
        <v>441</v>
      </c>
      <c r="K41" s="220" t="s">
        <v>364</v>
      </c>
    </row>
    <row r="42" spans="1:15" s="191" customFormat="1" ht="85.5" customHeight="1" x14ac:dyDescent="0.55000000000000004">
      <c r="A42" s="637"/>
      <c r="B42" s="73" t="s">
        <v>203</v>
      </c>
      <c r="C42" s="73">
        <v>19</v>
      </c>
      <c r="D42" s="332" t="s">
        <v>363</v>
      </c>
      <c r="E42" s="336"/>
      <c r="F42" s="221">
        <v>20</v>
      </c>
      <c r="G42" s="468"/>
      <c r="H42" s="468"/>
      <c r="I42" s="220" t="s">
        <v>442</v>
      </c>
      <c r="J42" s="220" t="s">
        <v>441</v>
      </c>
      <c r="K42" s="220" t="s">
        <v>443</v>
      </c>
    </row>
    <row r="43" spans="1:15" s="191" customFormat="1" ht="152.25" customHeight="1" x14ac:dyDescent="0.55000000000000004">
      <c r="A43" s="638"/>
      <c r="B43" s="73" t="s">
        <v>203</v>
      </c>
      <c r="C43" s="73">
        <v>20</v>
      </c>
      <c r="D43" s="332" t="s">
        <v>444</v>
      </c>
      <c r="E43" s="336"/>
      <c r="F43" s="221">
        <v>30</v>
      </c>
      <c r="G43" s="468"/>
      <c r="I43" s="220" t="s">
        <v>442</v>
      </c>
      <c r="J43" s="220" t="s">
        <v>441</v>
      </c>
      <c r="K43" s="220" t="s">
        <v>364</v>
      </c>
    </row>
    <row r="44" spans="1:15" s="191" customFormat="1" ht="79.5" customHeight="1" x14ac:dyDescent="0.55000000000000004">
      <c r="A44" s="639" t="s">
        <v>253</v>
      </c>
      <c r="B44" s="222" t="s">
        <v>203</v>
      </c>
      <c r="C44" s="222">
        <v>21</v>
      </c>
      <c r="D44" s="222" t="s">
        <v>328</v>
      </c>
      <c r="E44" s="336"/>
      <c r="F44" s="221">
        <v>10</v>
      </c>
      <c r="G44" s="220"/>
      <c r="H44" s="220"/>
      <c r="I44" s="220" t="s">
        <v>352</v>
      </c>
      <c r="J44" s="220" t="s">
        <v>484</v>
      </c>
      <c r="K44" s="220" t="s">
        <v>483</v>
      </c>
      <c r="N44" s="678"/>
      <c r="O44" s="679"/>
    </row>
    <row r="45" spans="1:15" s="191" customFormat="1" ht="87.75" customHeight="1" x14ac:dyDescent="0.55000000000000004">
      <c r="A45" s="639"/>
      <c r="B45" s="222" t="s">
        <v>203</v>
      </c>
      <c r="C45" s="222">
        <v>22</v>
      </c>
      <c r="D45" s="222" t="s">
        <v>329</v>
      </c>
      <c r="E45" s="336"/>
      <c r="F45" s="221">
        <v>10</v>
      </c>
      <c r="G45" s="220"/>
      <c r="H45" s="220"/>
      <c r="I45" s="220" t="s">
        <v>352</v>
      </c>
      <c r="J45" s="220" t="s">
        <v>484</v>
      </c>
      <c r="K45" s="220" t="s">
        <v>483</v>
      </c>
    </row>
    <row r="46" spans="1:15" s="191" customFormat="1" ht="87.75" customHeight="1" x14ac:dyDescent="0.55000000000000004">
      <c r="A46" s="639"/>
      <c r="B46" s="222" t="s">
        <v>203</v>
      </c>
      <c r="C46" s="222">
        <v>23</v>
      </c>
      <c r="D46" s="222" t="s">
        <v>330</v>
      </c>
      <c r="E46" s="336"/>
      <c r="F46" s="221">
        <v>10</v>
      </c>
      <c r="G46" s="220"/>
      <c r="H46" s="220"/>
      <c r="I46" s="220" t="s">
        <v>352</v>
      </c>
      <c r="J46" s="220" t="s">
        <v>484</v>
      </c>
      <c r="K46" s="220" t="s">
        <v>483</v>
      </c>
    </row>
    <row r="47" spans="1:15" s="191" customFormat="1" ht="54.75" customHeight="1" x14ac:dyDescent="0.55000000000000004">
      <c r="A47" s="640" t="s">
        <v>335</v>
      </c>
      <c r="B47" s="680" t="s">
        <v>203</v>
      </c>
      <c r="C47" s="681">
        <v>24</v>
      </c>
      <c r="D47" s="222" t="s">
        <v>133</v>
      </c>
      <c r="E47" s="703" t="s">
        <v>256</v>
      </c>
      <c r="F47" s="221">
        <v>5</v>
      </c>
      <c r="G47" s="682" t="s">
        <v>354</v>
      </c>
      <c r="H47" s="679"/>
      <c r="I47" s="679"/>
      <c r="J47" s="679"/>
      <c r="K47" s="683"/>
    </row>
    <row r="48" spans="1:15" s="191" customFormat="1" ht="75" customHeight="1" x14ac:dyDescent="0.55000000000000004">
      <c r="A48" s="640"/>
      <c r="B48" s="680" t="s">
        <v>203</v>
      </c>
      <c r="C48" s="681">
        <v>35</v>
      </c>
      <c r="D48" s="222" t="s">
        <v>134</v>
      </c>
      <c r="E48" s="703"/>
      <c r="F48" s="221">
        <v>10</v>
      </c>
      <c r="G48" s="687" t="s">
        <v>353</v>
      </c>
      <c r="H48" s="687"/>
      <c r="I48" s="687"/>
      <c r="J48" s="687"/>
      <c r="K48" s="687"/>
    </row>
    <row r="49" spans="1:11" s="191" customFormat="1" ht="90" customHeight="1" x14ac:dyDescent="0.55000000000000004">
      <c r="A49" s="640"/>
      <c r="B49" s="680" t="s">
        <v>203</v>
      </c>
      <c r="C49" s="681">
        <v>36</v>
      </c>
      <c r="D49" s="222" t="s">
        <v>331</v>
      </c>
      <c r="E49" s="703"/>
      <c r="F49" s="221">
        <v>20</v>
      </c>
      <c r="G49" s="684" t="s">
        <v>355</v>
      </c>
      <c r="H49" s="685"/>
      <c r="I49" s="685"/>
      <c r="J49" s="685"/>
      <c r="K49" s="686"/>
    </row>
    <row r="50" spans="1:11" s="191" customFormat="1" ht="89.25" customHeight="1" x14ac:dyDescent="0.55000000000000004">
      <c r="A50" s="640" t="s">
        <v>336</v>
      </c>
      <c r="B50" s="222" t="s">
        <v>203</v>
      </c>
      <c r="C50" s="222">
        <v>25</v>
      </c>
      <c r="D50" s="222" t="s">
        <v>323</v>
      </c>
      <c r="E50" s="343"/>
      <c r="F50" s="42">
        <v>30</v>
      </c>
      <c r="G50" s="220"/>
      <c r="H50" s="220"/>
      <c r="I50" s="258" t="s">
        <v>369</v>
      </c>
      <c r="J50" s="220" t="s">
        <v>368</v>
      </c>
      <c r="K50" s="220" t="s">
        <v>370</v>
      </c>
    </row>
    <row r="51" spans="1:11" s="191" customFormat="1" ht="139.5" customHeight="1" x14ac:dyDescent="0.55000000000000004">
      <c r="A51" s="640"/>
      <c r="B51" s="222" t="s">
        <v>203</v>
      </c>
      <c r="C51" s="222">
        <v>26</v>
      </c>
      <c r="D51" s="222" t="s">
        <v>325</v>
      </c>
      <c r="E51" s="336"/>
      <c r="F51" s="221">
        <v>30</v>
      </c>
      <c r="G51" s="220"/>
      <c r="H51" s="220"/>
      <c r="I51" s="258" t="s">
        <v>369</v>
      </c>
      <c r="J51" s="220" t="s">
        <v>368</v>
      </c>
      <c r="K51" s="220" t="s">
        <v>370</v>
      </c>
    </row>
    <row r="52" spans="1:11" s="191" customFormat="1" ht="69.75" customHeight="1" x14ac:dyDescent="0.55000000000000004">
      <c r="A52" s="651" t="s">
        <v>337</v>
      </c>
      <c r="B52" s="222" t="s">
        <v>203</v>
      </c>
      <c r="C52" s="222">
        <v>27</v>
      </c>
      <c r="D52" s="332" t="s">
        <v>357</v>
      </c>
      <c r="E52" s="337"/>
      <c r="F52" s="218">
        <v>20</v>
      </c>
      <c r="G52" s="353"/>
      <c r="H52" s="354"/>
      <c r="I52" s="354" t="s">
        <v>485</v>
      </c>
      <c r="J52" s="353" t="s">
        <v>486</v>
      </c>
      <c r="K52" s="354" t="s">
        <v>356</v>
      </c>
    </row>
    <row r="53" spans="1:11" s="191" customFormat="1" ht="69.75" customHeight="1" x14ac:dyDescent="0.55000000000000004">
      <c r="A53" s="652"/>
      <c r="B53" s="222" t="s">
        <v>203</v>
      </c>
      <c r="C53" s="222">
        <v>28</v>
      </c>
      <c r="D53" s="332" t="s">
        <v>358</v>
      </c>
      <c r="E53" s="338"/>
      <c r="F53" s="219">
        <v>20</v>
      </c>
      <c r="G53" s="353"/>
      <c r="H53" s="354"/>
      <c r="I53" s="354" t="s">
        <v>485</v>
      </c>
      <c r="J53" s="353" t="s">
        <v>486</v>
      </c>
      <c r="K53" s="354" t="s">
        <v>356</v>
      </c>
    </row>
    <row r="54" spans="1:11" s="191" customFormat="1" ht="69.75" customHeight="1" x14ac:dyDescent="0.55000000000000004">
      <c r="A54" s="652"/>
      <c r="B54" s="74" t="s">
        <v>203</v>
      </c>
      <c r="C54" s="74">
        <v>29</v>
      </c>
      <c r="D54" s="332" t="s">
        <v>359</v>
      </c>
      <c r="E54" s="339"/>
      <c r="F54" s="340">
        <v>20</v>
      </c>
      <c r="G54" s="353"/>
      <c r="H54" s="354"/>
      <c r="I54" s="354" t="s">
        <v>485</v>
      </c>
      <c r="J54" s="353" t="s">
        <v>486</v>
      </c>
      <c r="K54" s="354" t="s">
        <v>356</v>
      </c>
    </row>
    <row r="55" spans="1:11" s="191" customFormat="1" ht="85.5" customHeight="1" x14ac:dyDescent="0.55000000000000004">
      <c r="A55" s="335" t="s">
        <v>338</v>
      </c>
      <c r="B55" s="222" t="s">
        <v>203</v>
      </c>
      <c r="C55" s="222">
        <v>30</v>
      </c>
      <c r="D55" s="352" t="s">
        <v>360</v>
      </c>
      <c r="E55" s="341"/>
      <c r="F55" s="224">
        <v>20</v>
      </c>
      <c r="G55" s="355" t="s">
        <v>488</v>
      </c>
      <c r="H55" s="355" t="s">
        <v>489</v>
      </c>
      <c r="I55" s="355" t="s">
        <v>490</v>
      </c>
      <c r="J55" s="355" t="s">
        <v>491</v>
      </c>
      <c r="K55" s="342" t="s">
        <v>487</v>
      </c>
    </row>
    <row r="56" spans="1:11" s="191" customFormat="1" ht="78.75" customHeight="1" x14ac:dyDescent="0.55000000000000004">
      <c r="A56" s="639" t="s">
        <v>339</v>
      </c>
      <c r="B56" s="220" t="s">
        <v>203</v>
      </c>
      <c r="C56" s="32">
        <v>31</v>
      </c>
      <c r="D56" s="223" t="s">
        <v>361</v>
      </c>
      <c r="E56" s="220"/>
      <c r="F56" s="221">
        <v>40</v>
      </c>
      <c r="H56" s="220" t="s">
        <v>367</v>
      </c>
      <c r="I56" s="220" t="s">
        <v>366</v>
      </c>
      <c r="J56" s="254" t="s">
        <v>365</v>
      </c>
      <c r="K56" s="32" t="s">
        <v>492</v>
      </c>
    </row>
    <row r="57" spans="1:11" s="191" customFormat="1" ht="112.5" customHeight="1" x14ac:dyDescent="0.55000000000000004">
      <c r="A57" s="639"/>
      <c r="B57" s="220" t="s">
        <v>203</v>
      </c>
      <c r="C57" s="32">
        <v>32</v>
      </c>
      <c r="D57" s="223" t="s">
        <v>326</v>
      </c>
      <c r="E57" s="220"/>
      <c r="F57" s="221">
        <v>20</v>
      </c>
      <c r="G57" s="244"/>
      <c r="H57" s="32"/>
      <c r="I57" s="258" t="s">
        <v>369</v>
      </c>
      <c r="J57" s="220" t="s">
        <v>368</v>
      </c>
      <c r="K57" s="220" t="s">
        <v>493</v>
      </c>
    </row>
    <row r="58" spans="1:11" s="191" customFormat="1" ht="43.5" customHeight="1" x14ac:dyDescent="0.55000000000000004">
      <c r="A58" s="639"/>
      <c r="B58" s="220" t="s">
        <v>203</v>
      </c>
      <c r="C58" s="32">
        <v>33</v>
      </c>
      <c r="D58" s="223" t="s">
        <v>324</v>
      </c>
      <c r="E58" s="220"/>
      <c r="F58" s="221">
        <v>20</v>
      </c>
      <c r="G58" s="244"/>
      <c r="H58" s="32"/>
      <c r="I58" s="258" t="s">
        <v>369</v>
      </c>
      <c r="J58" s="220" t="s">
        <v>368</v>
      </c>
      <c r="K58" s="220" t="s">
        <v>493</v>
      </c>
    </row>
    <row r="59" spans="1:11" s="246" customFormat="1" ht="33" customHeight="1" x14ac:dyDescent="0.55000000000000004">
      <c r="A59" s="554" t="s">
        <v>232</v>
      </c>
      <c r="B59" s="556" t="s">
        <v>418</v>
      </c>
      <c r="C59" s="557"/>
      <c r="D59" s="557"/>
      <c r="E59" s="306"/>
      <c r="F59" s="414" t="s">
        <v>61</v>
      </c>
      <c r="G59" s="477"/>
      <c r="H59" s="477"/>
      <c r="I59" s="477"/>
      <c r="J59" s="477"/>
      <c r="K59" s="477"/>
    </row>
    <row r="60" spans="1:11" s="246" customFormat="1" ht="15.9" x14ac:dyDescent="0.55000000000000004">
      <c r="A60" s="555"/>
      <c r="B60" s="558"/>
      <c r="C60" s="559"/>
      <c r="D60" s="559"/>
      <c r="E60" s="197"/>
      <c r="F60" s="415">
        <f>SUM(F61:F71,F74,F75:F77)</f>
        <v>120</v>
      </c>
      <c r="G60" s="478" t="s">
        <v>62</v>
      </c>
      <c r="H60" s="478" t="s">
        <v>63</v>
      </c>
      <c r="I60" s="478" t="s">
        <v>64</v>
      </c>
      <c r="J60" s="478" t="s">
        <v>65</v>
      </c>
      <c r="K60" s="478" t="s">
        <v>66</v>
      </c>
    </row>
    <row r="61" spans="1:11" s="191" customFormat="1" ht="192" customHeight="1" x14ac:dyDescent="0.55000000000000004">
      <c r="A61" s="615" t="s">
        <v>340</v>
      </c>
      <c r="B61" s="416" t="s">
        <v>203</v>
      </c>
      <c r="C61" s="417">
        <v>34</v>
      </c>
      <c r="D61" s="709" t="s">
        <v>497</v>
      </c>
      <c r="E61" s="416"/>
      <c r="F61" s="469">
        <v>5</v>
      </c>
      <c r="G61" s="222"/>
      <c r="H61" s="222"/>
      <c r="I61" s="472" t="s">
        <v>500</v>
      </c>
      <c r="J61" s="472" t="s">
        <v>501</v>
      </c>
      <c r="K61" s="472" t="s">
        <v>503</v>
      </c>
    </row>
    <row r="62" spans="1:11" s="191" customFormat="1" ht="248.5" customHeight="1" x14ac:dyDescent="0.55000000000000004">
      <c r="A62" s="616"/>
      <c r="B62" s="470"/>
      <c r="C62" s="471"/>
      <c r="D62" s="674"/>
      <c r="E62" s="470"/>
      <c r="F62" s="473">
        <v>5</v>
      </c>
      <c r="G62" s="222"/>
      <c r="H62" s="222"/>
      <c r="I62" s="472" t="s">
        <v>498</v>
      </c>
      <c r="J62" s="472" t="s">
        <v>499</v>
      </c>
      <c r="K62" s="472" t="s">
        <v>502</v>
      </c>
    </row>
    <row r="63" spans="1:11" s="191" customFormat="1" ht="229.5" customHeight="1" x14ac:dyDescent="0.55000000000000004">
      <c r="A63" s="617"/>
      <c r="B63" s="420" t="s">
        <v>203</v>
      </c>
      <c r="C63" s="421">
        <v>35</v>
      </c>
      <c r="D63" s="422" t="s">
        <v>154</v>
      </c>
      <c r="E63" s="420"/>
      <c r="F63" s="423">
        <v>10</v>
      </c>
      <c r="G63" s="451"/>
      <c r="H63" s="451"/>
      <c r="I63" s="465" t="s">
        <v>494</v>
      </c>
      <c r="J63" s="465" t="s">
        <v>495</v>
      </c>
      <c r="K63" s="465" t="s">
        <v>496</v>
      </c>
    </row>
    <row r="64" spans="1:11" s="191" customFormat="1" ht="229.5" customHeight="1" x14ac:dyDescent="0.55000000000000004">
      <c r="A64" s="617"/>
      <c r="B64" s="420"/>
      <c r="C64" s="421"/>
      <c r="D64" s="673" t="s">
        <v>504</v>
      </c>
      <c r="E64" s="420"/>
      <c r="F64" s="423">
        <v>5</v>
      </c>
      <c r="G64" s="451"/>
      <c r="H64" s="451"/>
      <c r="I64" s="465" t="s">
        <v>505</v>
      </c>
      <c r="J64" s="465" t="s">
        <v>506</v>
      </c>
      <c r="K64" s="465" t="s">
        <v>507</v>
      </c>
    </row>
    <row r="65" spans="1:11" s="191" customFormat="1" ht="301" customHeight="1" x14ac:dyDescent="0.55000000000000004">
      <c r="A65" s="617"/>
      <c r="B65" s="420" t="s">
        <v>203</v>
      </c>
      <c r="C65" s="421">
        <v>36</v>
      </c>
      <c r="D65" s="674"/>
      <c r="E65" s="420"/>
      <c r="F65" s="423">
        <v>5</v>
      </c>
      <c r="G65" s="451"/>
      <c r="H65" s="451"/>
      <c r="I65" s="465" t="s">
        <v>508</v>
      </c>
      <c r="J65" s="465" t="s">
        <v>509</v>
      </c>
      <c r="K65" s="465" t="s">
        <v>510</v>
      </c>
    </row>
    <row r="66" spans="1:11" s="191" customFormat="1" ht="275.5" customHeight="1" x14ac:dyDescent="0.55000000000000004">
      <c r="A66" s="617"/>
      <c r="B66" s="420"/>
      <c r="C66" s="421"/>
      <c r="D66" s="673" t="s">
        <v>511</v>
      </c>
      <c r="E66" s="420"/>
      <c r="F66" s="423">
        <v>5</v>
      </c>
      <c r="G66" s="451"/>
      <c r="H66" s="451"/>
      <c r="I66" s="465" t="s">
        <v>512</v>
      </c>
      <c r="J66" s="465" t="s">
        <v>513</v>
      </c>
      <c r="K66" s="465" t="s">
        <v>514</v>
      </c>
    </row>
    <row r="67" spans="1:11" s="191" customFormat="1" ht="198" customHeight="1" x14ac:dyDescent="0.55000000000000004">
      <c r="A67" s="617"/>
      <c r="B67" s="420" t="s">
        <v>203</v>
      </c>
      <c r="C67" s="421">
        <v>37</v>
      </c>
      <c r="D67" s="674"/>
      <c r="E67" s="420"/>
      <c r="F67" s="424">
        <v>5</v>
      </c>
      <c r="G67" s="451"/>
      <c r="H67" s="451"/>
      <c r="I67" s="465" t="s">
        <v>515</v>
      </c>
      <c r="J67" s="465" t="s">
        <v>516</v>
      </c>
      <c r="K67" s="465" t="s">
        <v>517</v>
      </c>
    </row>
    <row r="68" spans="1:11" s="191" customFormat="1" ht="295.5" customHeight="1" x14ac:dyDescent="0.55000000000000004">
      <c r="A68" s="617"/>
      <c r="B68" s="420" t="s">
        <v>203</v>
      </c>
      <c r="C68" s="421">
        <v>38</v>
      </c>
      <c r="D68" s="422" t="s">
        <v>158</v>
      </c>
      <c r="E68" s="420"/>
      <c r="F68" s="424">
        <v>5</v>
      </c>
      <c r="G68" s="451"/>
      <c r="H68" s="451"/>
      <c r="I68" s="465" t="s">
        <v>518</v>
      </c>
      <c r="J68" s="465" t="s">
        <v>519</v>
      </c>
      <c r="K68" s="465" t="s">
        <v>520</v>
      </c>
    </row>
    <row r="69" spans="1:11" s="191" customFormat="1" ht="57" customHeight="1" x14ac:dyDescent="0.55000000000000004">
      <c r="A69" s="618"/>
      <c r="B69" s="425" t="s">
        <v>203</v>
      </c>
      <c r="C69" s="426">
        <v>39</v>
      </c>
      <c r="D69" s="427" t="s">
        <v>155</v>
      </c>
      <c r="E69" s="425"/>
      <c r="F69" s="428">
        <v>5</v>
      </c>
      <c r="G69" s="675" t="s">
        <v>521</v>
      </c>
      <c r="H69" s="676"/>
      <c r="I69" s="676"/>
      <c r="J69" s="676"/>
      <c r="K69" s="677"/>
    </row>
    <row r="70" spans="1:11" s="191" customFormat="1" ht="119.1" customHeight="1" x14ac:dyDescent="0.55000000000000004">
      <c r="A70" s="615" t="s">
        <v>341</v>
      </c>
      <c r="B70" s="416" t="s">
        <v>203</v>
      </c>
      <c r="C70" s="417">
        <v>40</v>
      </c>
      <c r="D70" s="418" t="s">
        <v>156</v>
      </c>
      <c r="E70" s="416"/>
      <c r="F70" s="419">
        <v>10</v>
      </c>
      <c r="G70" s="474" t="s">
        <v>522</v>
      </c>
      <c r="H70" s="475"/>
      <c r="I70" s="465" t="s">
        <v>523</v>
      </c>
      <c r="J70" s="465" t="s">
        <v>524</v>
      </c>
      <c r="K70" s="474" t="s">
        <v>525</v>
      </c>
    </row>
    <row r="71" spans="1:11" s="191" customFormat="1" ht="173.5" customHeight="1" x14ac:dyDescent="0.55000000000000004">
      <c r="A71" s="617"/>
      <c r="B71" s="420" t="s">
        <v>203</v>
      </c>
      <c r="C71" s="421">
        <v>41</v>
      </c>
      <c r="D71" s="422" t="s">
        <v>159</v>
      </c>
      <c r="E71" s="420"/>
      <c r="F71" s="423">
        <v>10</v>
      </c>
      <c r="G71" s="451"/>
      <c r="H71" s="465" t="s">
        <v>526</v>
      </c>
      <c r="I71" s="465" t="s">
        <v>527</v>
      </c>
      <c r="J71" s="465" t="s">
        <v>528</v>
      </c>
      <c r="K71" s="466" t="s">
        <v>529</v>
      </c>
    </row>
    <row r="72" spans="1:11" s="191" customFormat="1" ht="149.5" customHeight="1" x14ac:dyDescent="0.55000000000000004">
      <c r="A72" s="617"/>
      <c r="B72" s="420" t="s">
        <v>203</v>
      </c>
      <c r="C72" s="421">
        <v>42</v>
      </c>
      <c r="D72" s="422" t="s">
        <v>160</v>
      </c>
      <c r="E72" s="619" t="s">
        <v>421</v>
      </c>
      <c r="F72" s="423">
        <v>10</v>
      </c>
      <c r="G72" s="465" t="s">
        <v>530</v>
      </c>
      <c r="H72" s="465" t="s">
        <v>531</v>
      </c>
      <c r="I72" s="465" t="s">
        <v>532</v>
      </c>
      <c r="J72" s="465" t="s">
        <v>533</v>
      </c>
      <c r="K72" s="465" t="s">
        <v>534</v>
      </c>
    </row>
    <row r="73" spans="1:11" s="191" customFormat="1" ht="266.5" customHeight="1" x14ac:dyDescent="0.55000000000000004">
      <c r="A73" s="617"/>
      <c r="B73" s="420" t="s">
        <v>203</v>
      </c>
      <c r="C73" s="421">
        <v>43</v>
      </c>
      <c r="D73" s="422" t="s">
        <v>447</v>
      </c>
      <c r="E73" s="619"/>
      <c r="F73" s="423">
        <v>15</v>
      </c>
      <c r="G73" s="465" t="s">
        <v>535</v>
      </c>
      <c r="H73" s="474" t="s">
        <v>538</v>
      </c>
      <c r="I73" s="474" t="s">
        <v>544</v>
      </c>
      <c r="J73" s="465" t="s">
        <v>536</v>
      </c>
      <c r="K73" s="465" t="s">
        <v>537</v>
      </c>
    </row>
    <row r="74" spans="1:11" s="191" customFormat="1" ht="222" customHeight="1" x14ac:dyDescent="0.55000000000000004">
      <c r="A74" s="618"/>
      <c r="B74" s="425" t="s">
        <v>203</v>
      </c>
      <c r="C74" s="426">
        <v>44</v>
      </c>
      <c r="D74" s="427" t="s">
        <v>423</v>
      </c>
      <c r="E74" s="620"/>
      <c r="F74" s="429">
        <v>20</v>
      </c>
      <c r="G74" s="244" t="s">
        <v>539</v>
      </c>
      <c r="H74" s="32" t="s">
        <v>540</v>
      </c>
      <c r="I74" s="32" t="s">
        <v>541</v>
      </c>
      <c r="J74" s="32" t="s">
        <v>542</v>
      </c>
      <c r="K74" s="32" t="s">
        <v>543</v>
      </c>
    </row>
    <row r="75" spans="1:11" s="248" customFormat="1" ht="185.1" customHeight="1" x14ac:dyDescent="0.55000000000000004">
      <c r="A75" s="615" t="s">
        <v>342</v>
      </c>
      <c r="B75" s="416" t="s">
        <v>203</v>
      </c>
      <c r="C75" s="430">
        <v>45</v>
      </c>
      <c r="D75" s="418" t="s">
        <v>162</v>
      </c>
      <c r="E75" s="416"/>
      <c r="F75" s="419">
        <v>10</v>
      </c>
      <c r="G75" s="244" t="s">
        <v>545</v>
      </c>
      <c r="H75" s="32" t="s">
        <v>546</v>
      </c>
      <c r="I75" s="32" t="s">
        <v>547</v>
      </c>
      <c r="J75" s="32" t="s">
        <v>548</v>
      </c>
      <c r="K75" s="32" t="s">
        <v>549</v>
      </c>
    </row>
    <row r="76" spans="1:11" s="248" customFormat="1" ht="161.5" customHeight="1" x14ac:dyDescent="0.55000000000000004">
      <c r="A76" s="617"/>
      <c r="B76" s="420" t="s">
        <v>203</v>
      </c>
      <c r="C76" s="431">
        <v>46</v>
      </c>
      <c r="D76" s="422" t="s">
        <v>424</v>
      </c>
      <c r="E76" s="420"/>
      <c r="F76" s="423">
        <v>10</v>
      </c>
      <c r="G76" s="244" t="s">
        <v>550</v>
      </c>
      <c r="H76" s="32" t="s">
        <v>551</v>
      </c>
      <c r="I76" s="32" t="s">
        <v>552</v>
      </c>
      <c r="J76" s="32" t="s">
        <v>553</v>
      </c>
      <c r="K76" s="32" t="s">
        <v>554</v>
      </c>
    </row>
    <row r="77" spans="1:11" s="191" customFormat="1" ht="236.5" customHeight="1" x14ac:dyDescent="0.55000000000000004">
      <c r="A77" s="618"/>
      <c r="B77" s="425" t="s">
        <v>203</v>
      </c>
      <c r="C77" s="426">
        <v>47</v>
      </c>
      <c r="D77" s="427" t="s">
        <v>164</v>
      </c>
      <c r="E77" s="425"/>
      <c r="F77" s="429">
        <v>10</v>
      </c>
      <c r="G77" s="244" t="s">
        <v>555</v>
      </c>
      <c r="H77" s="32" t="s">
        <v>556</v>
      </c>
      <c r="I77" s="32" t="s">
        <v>557</v>
      </c>
      <c r="J77" s="32" t="s">
        <v>558</v>
      </c>
      <c r="K77" s="32" t="s">
        <v>559</v>
      </c>
    </row>
    <row r="78" spans="1:11" s="191" customFormat="1" ht="54.75" customHeight="1" x14ac:dyDescent="0.55000000000000004">
      <c r="A78" s="568" t="s">
        <v>238</v>
      </c>
      <c r="B78" s="570" t="s">
        <v>165</v>
      </c>
      <c r="C78" s="571"/>
      <c r="D78" s="571"/>
      <c r="E78" s="247"/>
      <c r="F78" s="452" t="s">
        <v>61</v>
      </c>
      <c r="G78" s="688"/>
      <c r="H78" s="689"/>
      <c r="I78" s="689"/>
      <c r="J78" s="689"/>
      <c r="K78" s="690"/>
    </row>
    <row r="79" spans="1:11" s="191" customFormat="1" ht="40" customHeight="1" x14ac:dyDescent="0.55000000000000004">
      <c r="A79" s="569"/>
      <c r="B79" s="572"/>
      <c r="C79" s="573"/>
      <c r="D79" s="573"/>
      <c r="E79" s="198"/>
      <c r="F79" s="453">
        <f>SUM(F80:F92)</f>
        <v>100</v>
      </c>
      <c r="G79" s="479" t="s">
        <v>62</v>
      </c>
      <c r="H79" s="480" t="s">
        <v>63</v>
      </c>
      <c r="I79" s="480" t="s">
        <v>64</v>
      </c>
      <c r="J79" s="480" t="s">
        <v>65</v>
      </c>
      <c r="K79" s="480" t="s">
        <v>66</v>
      </c>
    </row>
    <row r="80" spans="1:11" s="191" customFormat="1" ht="152.1" customHeight="1" x14ac:dyDescent="0.55000000000000004">
      <c r="A80" s="624" t="s">
        <v>425</v>
      </c>
      <c r="B80" s="416" t="s">
        <v>203</v>
      </c>
      <c r="C80" s="417">
        <v>48</v>
      </c>
      <c r="D80" s="432" t="s">
        <v>332</v>
      </c>
      <c r="E80" s="416"/>
      <c r="F80" s="433">
        <v>5</v>
      </c>
      <c r="G80" s="244" t="s">
        <v>560</v>
      </c>
      <c r="H80" s="32" t="s">
        <v>561</v>
      </c>
      <c r="I80" s="32" t="s">
        <v>562</v>
      </c>
      <c r="J80" s="32" t="s">
        <v>563</v>
      </c>
      <c r="K80" s="32" t="s">
        <v>564</v>
      </c>
    </row>
    <row r="81" spans="1:11" s="191" customFormat="1" ht="171.6" customHeight="1" x14ac:dyDescent="0.55000000000000004">
      <c r="A81" s="625"/>
      <c r="B81" s="420" t="s">
        <v>203</v>
      </c>
      <c r="C81" s="421">
        <v>49</v>
      </c>
      <c r="D81" s="434" t="s">
        <v>426</v>
      </c>
      <c r="E81" s="420"/>
      <c r="F81" s="435">
        <v>5</v>
      </c>
      <c r="G81" s="481"/>
      <c r="H81" s="482"/>
      <c r="I81" s="342" t="s">
        <v>565</v>
      </c>
      <c r="J81" s="342" t="s">
        <v>566</v>
      </c>
      <c r="K81" s="342" t="s">
        <v>567</v>
      </c>
    </row>
    <row r="82" spans="1:11" s="191" customFormat="1" ht="74.099999999999994" customHeight="1" x14ac:dyDescent="0.55000000000000004">
      <c r="A82" s="625"/>
      <c r="B82" s="420" t="s">
        <v>203</v>
      </c>
      <c r="C82" s="421">
        <v>50</v>
      </c>
      <c r="D82" s="434" t="s">
        <v>427</v>
      </c>
      <c r="E82" s="420"/>
      <c r="F82" s="436">
        <v>10</v>
      </c>
      <c r="G82" s="481"/>
      <c r="H82" s="482"/>
      <c r="I82" s="342" t="s">
        <v>568</v>
      </c>
      <c r="J82" s="342" t="s">
        <v>569</v>
      </c>
      <c r="K82" s="342" t="s">
        <v>570</v>
      </c>
    </row>
    <row r="83" spans="1:11" s="191" customFormat="1" ht="114" customHeight="1" x14ac:dyDescent="0.55000000000000004">
      <c r="A83" s="626"/>
      <c r="B83" s="437" t="s">
        <v>203</v>
      </c>
      <c r="C83" s="438">
        <v>51</v>
      </c>
      <c r="D83" s="460" t="s">
        <v>189</v>
      </c>
      <c r="E83" s="437"/>
      <c r="F83" s="439">
        <v>10</v>
      </c>
      <c r="G83" s="481"/>
      <c r="H83" s="482"/>
      <c r="I83" s="342" t="s">
        <v>571</v>
      </c>
      <c r="J83" s="342" t="s">
        <v>572</v>
      </c>
      <c r="K83" s="342" t="s">
        <v>573</v>
      </c>
    </row>
    <row r="84" spans="1:11" s="191" customFormat="1" ht="146.1" customHeight="1" x14ac:dyDescent="0.55000000000000004">
      <c r="A84" s="621" t="s">
        <v>343</v>
      </c>
      <c r="B84" s="416" t="s">
        <v>203</v>
      </c>
      <c r="C84" s="417">
        <v>52</v>
      </c>
      <c r="D84" s="418" t="s">
        <v>193</v>
      </c>
      <c r="E84" s="416"/>
      <c r="F84" s="440">
        <v>10</v>
      </c>
      <c r="G84" s="481"/>
      <c r="H84" s="482"/>
      <c r="I84" s="482"/>
      <c r="J84" s="342" t="s">
        <v>574</v>
      </c>
      <c r="K84" s="342" t="s">
        <v>575</v>
      </c>
    </row>
    <row r="85" spans="1:11" s="191" customFormat="1" ht="122.5" customHeight="1" x14ac:dyDescent="0.55000000000000004">
      <c r="A85" s="622"/>
      <c r="B85" s="420" t="s">
        <v>203</v>
      </c>
      <c r="C85" s="421">
        <v>53</v>
      </c>
      <c r="D85" s="422" t="s">
        <v>245</v>
      </c>
      <c r="E85" s="420"/>
      <c r="F85" s="436">
        <v>10</v>
      </c>
      <c r="G85" s="481"/>
      <c r="H85" s="482"/>
      <c r="I85" s="482"/>
      <c r="J85" s="342" t="s">
        <v>576</v>
      </c>
      <c r="K85" s="342" t="s">
        <v>577</v>
      </c>
    </row>
    <row r="86" spans="1:11" s="191" customFormat="1" ht="110.1" customHeight="1" x14ac:dyDescent="0.55000000000000004">
      <c r="A86" s="622"/>
      <c r="B86" s="420" t="s">
        <v>203</v>
      </c>
      <c r="C86" s="421">
        <v>54</v>
      </c>
      <c r="D86" s="422" t="s">
        <v>195</v>
      </c>
      <c r="E86" s="420"/>
      <c r="F86" s="436">
        <v>10</v>
      </c>
      <c r="G86" s="481"/>
      <c r="H86" s="482"/>
      <c r="I86" s="482"/>
      <c r="J86" s="342" t="s">
        <v>578</v>
      </c>
      <c r="K86" s="483" t="s">
        <v>579</v>
      </c>
    </row>
    <row r="87" spans="1:11" s="191" customFormat="1" ht="126.6" customHeight="1" x14ac:dyDescent="0.55000000000000004">
      <c r="A87" s="623"/>
      <c r="B87" s="425" t="s">
        <v>203</v>
      </c>
      <c r="C87" s="426">
        <v>55</v>
      </c>
      <c r="D87" s="427" t="s">
        <v>196</v>
      </c>
      <c r="E87" s="425"/>
      <c r="F87" s="441">
        <v>10</v>
      </c>
      <c r="G87" s="481"/>
      <c r="H87" s="482"/>
      <c r="I87" s="482"/>
      <c r="J87" s="483" t="s">
        <v>580</v>
      </c>
      <c r="K87" s="342" t="s">
        <v>581</v>
      </c>
    </row>
    <row r="88" spans="1:11" s="191" customFormat="1" ht="146.1" customHeight="1" x14ac:dyDescent="0.55000000000000004">
      <c r="A88" s="621" t="s">
        <v>344</v>
      </c>
      <c r="B88" s="416" t="s">
        <v>203</v>
      </c>
      <c r="C88" s="417">
        <v>56</v>
      </c>
      <c r="D88" s="432" t="s">
        <v>428</v>
      </c>
      <c r="E88" s="416"/>
      <c r="F88" s="440">
        <v>5</v>
      </c>
      <c r="G88" s="342"/>
      <c r="H88" s="342"/>
      <c r="I88" s="342" t="s">
        <v>582</v>
      </c>
      <c r="J88" s="342" t="s">
        <v>583</v>
      </c>
      <c r="K88" s="342" t="s">
        <v>584</v>
      </c>
    </row>
    <row r="89" spans="1:11" s="246" customFormat="1" ht="52.5" customHeight="1" x14ac:dyDescent="0.55000000000000004">
      <c r="A89" s="627"/>
      <c r="B89" s="420" t="s">
        <v>203</v>
      </c>
      <c r="C89" s="421">
        <v>57</v>
      </c>
      <c r="D89" s="422" t="s">
        <v>198</v>
      </c>
      <c r="E89" s="420"/>
      <c r="F89" s="436">
        <v>5</v>
      </c>
      <c r="G89" s="694" t="s">
        <v>459</v>
      </c>
      <c r="H89" s="695"/>
      <c r="I89" s="695"/>
      <c r="J89" s="695"/>
      <c r="K89" s="695"/>
    </row>
    <row r="90" spans="1:11" s="246" customFormat="1" ht="128.1" customHeight="1" x14ac:dyDescent="0.55000000000000004">
      <c r="A90" s="627"/>
      <c r="B90" s="420" t="s">
        <v>203</v>
      </c>
      <c r="C90" s="421">
        <v>58</v>
      </c>
      <c r="D90" s="422" t="s">
        <v>199</v>
      </c>
      <c r="E90" s="420"/>
      <c r="F90" s="436">
        <v>10</v>
      </c>
      <c r="G90" s="481"/>
      <c r="H90" s="482"/>
      <c r="I90" s="484" t="s">
        <v>585</v>
      </c>
      <c r="J90" s="342" t="s">
        <v>586</v>
      </c>
      <c r="K90" s="342" t="s">
        <v>587</v>
      </c>
    </row>
    <row r="91" spans="1:11" s="191" customFormat="1" ht="105" customHeight="1" x14ac:dyDescent="0.55000000000000004">
      <c r="A91" s="627"/>
      <c r="B91" s="420" t="s">
        <v>203</v>
      </c>
      <c r="C91" s="442">
        <v>59</v>
      </c>
      <c r="D91" s="422" t="s">
        <v>200</v>
      </c>
      <c r="E91" s="420"/>
      <c r="F91" s="436">
        <v>5</v>
      </c>
      <c r="G91" s="481"/>
      <c r="H91" s="482"/>
      <c r="I91" s="342" t="s">
        <v>588</v>
      </c>
      <c r="J91" s="483" t="s">
        <v>589</v>
      </c>
      <c r="K91" s="483" t="s">
        <v>590</v>
      </c>
    </row>
    <row r="92" spans="1:11" s="191" customFormat="1" ht="146.1" customHeight="1" x14ac:dyDescent="0.55000000000000004">
      <c r="A92" s="628"/>
      <c r="B92" s="425" t="s">
        <v>203</v>
      </c>
      <c r="C92" s="443">
        <v>60</v>
      </c>
      <c r="D92" s="427" t="s">
        <v>201</v>
      </c>
      <c r="E92" s="425"/>
      <c r="F92" s="441">
        <v>5</v>
      </c>
      <c r="G92" s="481"/>
      <c r="H92" s="482"/>
      <c r="I92" s="482"/>
      <c r="J92" s="342" t="s">
        <v>591</v>
      </c>
      <c r="K92" s="483" t="s">
        <v>592</v>
      </c>
    </row>
    <row r="93" spans="1:11" s="191" customFormat="1" ht="91.5" customHeight="1" x14ac:dyDescent="0.55000000000000004">
      <c r="A93" s="582" t="s">
        <v>243</v>
      </c>
      <c r="B93" s="584" t="s">
        <v>429</v>
      </c>
      <c r="C93" s="585"/>
      <c r="D93" s="585"/>
      <c r="E93" s="309"/>
      <c r="F93" s="454" t="s">
        <v>61</v>
      </c>
      <c r="G93" s="691"/>
      <c r="H93" s="692"/>
      <c r="I93" s="692"/>
      <c r="J93" s="692"/>
      <c r="K93" s="693"/>
    </row>
    <row r="94" spans="1:11" s="191" customFormat="1" ht="55" customHeight="1" x14ac:dyDescent="0.55000000000000004">
      <c r="A94" s="583"/>
      <c r="B94" s="586"/>
      <c r="C94" s="587"/>
      <c r="D94" s="587"/>
      <c r="E94" s="311"/>
      <c r="F94" s="455">
        <f>SUM(F95:F104,F111)</f>
        <v>150</v>
      </c>
      <c r="G94" s="476" t="s">
        <v>62</v>
      </c>
      <c r="H94" s="476" t="s">
        <v>63</v>
      </c>
      <c r="I94" s="476" t="s">
        <v>64</v>
      </c>
      <c r="J94" s="476" t="s">
        <v>65</v>
      </c>
      <c r="K94" s="476" t="s">
        <v>66</v>
      </c>
    </row>
    <row r="95" spans="1:11" s="191" customFormat="1" ht="125.5" customHeight="1" x14ac:dyDescent="0.55000000000000004">
      <c r="A95" s="632" t="s">
        <v>345</v>
      </c>
      <c r="B95" s="416" t="s">
        <v>203</v>
      </c>
      <c r="C95" s="417">
        <v>61</v>
      </c>
      <c r="D95" s="418" t="s">
        <v>175</v>
      </c>
      <c r="E95" s="416"/>
      <c r="F95" s="440">
        <v>10</v>
      </c>
      <c r="G95" s="481"/>
      <c r="H95" s="482"/>
      <c r="I95" s="342" t="s">
        <v>593</v>
      </c>
      <c r="J95" s="342" t="s">
        <v>594</v>
      </c>
      <c r="K95" s="342" t="s">
        <v>595</v>
      </c>
    </row>
    <row r="96" spans="1:11" s="191" customFormat="1" ht="196" customHeight="1" x14ac:dyDescent="0.55000000000000004">
      <c r="A96" s="641"/>
      <c r="B96" s="420" t="s">
        <v>203</v>
      </c>
      <c r="C96" s="421">
        <v>62</v>
      </c>
      <c r="D96" s="422" t="s">
        <v>176</v>
      </c>
      <c r="E96" s="420"/>
      <c r="F96" s="436">
        <v>10</v>
      </c>
      <c r="G96" s="481"/>
      <c r="H96" s="482"/>
      <c r="I96" s="342" t="s">
        <v>596</v>
      </c>
      <c r="J96" s="342" t="s">
        <v>597</v>
      </c>
      <c r="K96" s="342" t="s">
        <v>598</v>
      </c>
    </row>
    <row r="97" spans="1:11" s="191" customFormat="1" ht="175.5" customHeight="1" x14ac:dyDescent="0.55000000000000004">
      <c r="A97" s="641"/>
      <c r="B97" s="420" t="s">
        <v>203</v>
      </c>
      <c r="C97" s="421">
        <v>63</v>
      </c>
      <c r="D97" s="422" t="s">
        <v>177</v>
      </c>
      <c r="E97" s="420"/>
      <c r="F97" s="436">
        <v>10</v>
      </c>
      <c r="G97" s="481"/>
      <c r="H97" s="482"/>
      <c r="I97" s="482"/>
      <c r="J97" s="482"/>
      <c r="K97" s="342" t="s">
        <v>599</v>
      </c>
    </row>
    <row r="98" spans="1:11" s="191" customFormat="1" ht="81.599999999999994" customHeight="1" x14ac:dyDescent="0.55000000000000004">
      <c r="A98" s="642"/>
      <c r="B98" s="425" t="s">
        <v>203</v>
      </c>
      <c r="C98" s="426">
        <v>64</v>
      </c>
      <c r="D98" s="427" t="s">
        <v>242</v>
      </c>
      <c r="E98" s="425"/>
      <c r="F98" s="441">
        <v>10</v>
      </c>
      <c r="G98" s="481"/>
      <c r="H98" s="342" t="s">
        <v>600</v>
      </c>
      <c r="I98" s="342" t="s">
        <v>601</v>
      </c>
      <c r="J98" s="342" t="s">
        <v>602</v>
      </c>
      <c r="K98" s="342" t="s">
        <v>603</v>
      </c>
    </row>
    <row r="99" spans="1:11" s="191" customFormat="1" ht="99" customHeight="1" x14ac:dyDescent="0.55000000000000004">
      <c r="A99" s="629" t="s">
        <v>430</v>
      </c>
      <c r="B99" s="416" t="s">
        <v>203</v>
      </c>
      <c r="C99" s="417">
        <v>65</v>
      </c>
      <c r="D99" s="418" t="s">
        <v>348</v>
      </c>
      <c r="E99" s="416"/>
      <c r="F99" s="440">
        <v>10</v>
      </c>
      <c r="G99" s="481"/>
      <c r="H99" s="482"/>
      <c r="I99" s="342" t="s">
        <v>604</v>
      </c>
      <c r="J99" s="342" t="s">
        <v>605</v>
      </c>
      <c r="K99" s="342" t="s">
        <v>606</v>
      </c>
    </row>
    <row r="100" spans="1:11" s="191" customFormat="1" ht="108" customHeight="1" x14ac:dyDescent="0.55000000000000004">
      <c r="A100" s="630"/>
      <c r="B100" s="420" t="s">
        <v>203</v>
      </c>
      <c r="C100" s="421">
        <v>66</v>
      </c>
      <c r="D100" s="422" t="s">
        <v>173</v>
      </c>
      <c r="E100" s="420"/>
      <c r="F100" s="436">
        <v>10</v>
      </c>
      <c r="G100" s="481"/>
      <c r="H100" s="482"/>
      <c r="I100" s="482"/>
      <c r="J100" s="482"/>
      <c r="K100" s="342" t="s">
        <v>607</v>
      </c>
    </row>
    <row r="101" spans="1:11" s="191" customFormat="1" ht="89.5" customHeight="1" x14ac:dyDescent="0.55000000000000004">
      <c r="A101" s="631"/>
      <c r="B101" s="425" t="s">
        <v>203</v>
      </c>
      <c r="C101" s="426">
        <v>67</v>
      </c>
      <c r="D101" s="427" t="s">
        <v>174</v>
      </c>
      <c r="E101" s="425"/>
      <c r="F101" s="441">
        <v>10</v>
      </c>
      <c r="G101" s="481"/>
      <c r="H101" s="482"/>
      <c r="I101" s="342" t="s">
        <v>608</v>
      </c>
      <c r="J101" s="342" t="s">
        <v>609</v>
      </c>
      <c r="K101" s="342" t="s">
        <v>610</v>
      </c>
    </row>
    <row r="102" spans="1:11" s="191" customFormat="1" ht="92.1" customHeight="1" x14ac:dyDescent="0.55000000000000004">
      <c r="A102" s="629" t="s">
        <v>346</v>
      </c>
      <c r="B102" s="416" t="s">
        <v>203</v>
      </c>
      <c r="C102" s="417">
        <v>68</v>
      </c>
      <c r="D102" s="418" t="s">
        <v>169</v>
      </c>
      <c r="E102" s="416"/>
      <c r="F102" s="440">
        <v>10</v>
      </c>
      <c r="G102" s="481"/>
      <c r="H102" s="482"/>
      <c r="I102" s="485" t="s">
        <v>614</v>
      </c>
      <c r="J102" s="485" t="s">
        <v>612</v>
      </c>
      <c r="K102" s="485" t="s">
        <v>613</v>
      </c>
    </row>
    <row r="103" spans="1:11" s="191" customFormat="1" ht="81.599999999999994" customHeight="1" x14ac:dyDescent="0.55000000000000004">
      <c r="A103" s="630"/>
      <c r="B103" s="420" t="s">
        <v>203</v>
      </c>
      <c r="C103" s="442">
        <v>69</v>
      </c>
      <c r="D103" s="422" t="s">
        <v>431</v>
      </c>
      <c r="E103" s="420"/>
      <c r="F103" s="436">
        <v>10</v>
      </c>
      <c r="G103" s="481"/>
      <c r="H103" s="482"/>
      <c r="I103" s="485" t="s">
        <v>614</v>
      </c>
      <c r="J103" s="485" t="s">
        <v>612</v>
      </c>
      <c r="K103" s="485" t="s">
        <v>615</v>
      </c>
    </row>
    <row r="104" spans="1:11" s="191" customFormat="1" ht="75.75" customHeight="1" x14ac:dyDescent="0.55000000000000004">
      <c r="A104" s="631"/>
      <c r="B104" s="425" t="s">
        <v>203</v>
      </c>
      <c r="C104" s="443">
        <v>70</v>
      </c>
      <c r="D104" s="427" t="s">
        <v>349</v>
      </c>
      <c r="E104" s="425"/>
      <c r="F104" s="441">
        <v>10</v>
      </c>
      <c r="G104" s="481"/>
      <c r="H104" s="482"/>
      <c r="I104" s="342" t="s">
        <v>616</v>
      </c>
      <c r="J104" s="342" t="s">
        <v>617</v>
      </c>
      <c r="K104" s="342" t="s">
        <v>618</v>
      </c>
    </row>
    <row r="105" spans="1:11" s="191" customFormat="1" ht="25" customHeight="1" x14ac:dyDescent="0.55000000000000004">
      <c r="A105" s="632" t="s">
        <v>347</v>
      </c>
      <c r="B105" s="669" t="s">
        <v>203</v>
      </c>
      <c r="C105" s="666">
        <v>71</v>
      </c>
      <c r="D105" s="444" t="s">
        <v>58</v>
      </c>
      <c r="E105" s="664" t="s">
        <v>432</v>
      </c>
      <c r="F105" s="440">
        <v>25</v>
      </c>
      <c r="G105" s="604" t="s">
        <v>611</v>
      </c>
      <c r="H105" s="605"/>
      <c r="I105" s="605"/>
      <c r="J105" s="605"/>
      <c r="K105" s="606"/>
    </row>
    <row r="106" spans="1:11" s="191" customFormat="1" ht="25" customHeight="1" x14ac:dyDescent="0.55000000000000004">
      <c r="A106" s="633"/>
      <c r="B106" s="670"/>
      <c r="C106" s="667"/>
      <c r="D106" s="422" t="s">
        <v>59</v>
      </c>
      <c r="E106" s="665"/>
      <c r="F106" s="436">
        <v>10</v>
      </c>
      <c r="G106" s="607"/>
      <c r="H106" s="608"/>
      <c r="I106" s="608"/>
      <c r="J106" s="608"/>
      <c r="K106" s="609"/>
    </row>
    <row r="107" spans="1:11" s="191" customFormat="1" ht="25" customHeight="1" x14ac:dyDescent="0.55000000000000004">
      <c r="A107" s="633"/>
      <c r="B107" s="670"/>
      <c r="C107" s="667"/>
      <c r="D107" s="422" t="s">
        <v>58</v>
      </c>
      <c r="E107" s="665" t="s">
        <v>433</v>
      </c>
      <c r="F107" s="436">
        <v>35</v>
      </c>
      <c r="G107" s="607"/>
      <c r="H107" s="608"/>
      <c r="I107" s="608"/>
      <c r="J107" s="608"/>
      <c r="K107" s="609"/>
    </row>
    <row r="108" spans="1:11" s="191" customFormat="1" ht="25" customHeight="1" x14ac:dyDescent="0.55000000000000004">
      <c r="A108" s="633"/>
      <c r="B108" s="670"/>
      <c r="C108" s="667"/>
      <c r="D108" s="422" t="s">
        <v>83</v>
      </c>
      <c r="E108" s="665"/>
      <c r="F108" s="436">
        <v>15</v>
      </c>
      <c r="G108" s="607"/>
      <c r="H108" s="608"/>
      <c r="I108" s="608"/>
      <c r="J108" s="608"/>
      <c r="K108" s="609"/>
    </row>
    <row r="109" spans="1:11" ht="24" customHeight="1" x14ac:dyDescent="0.55000000000000004">
      <c r="A109" s="633"/>
      <c r="B109" s="670"/>
      <c r="C109" s="667"/>
      <c r="D109" s="422" t="s">
        <v>58</v>
      </c>
      <c r="E109" s="665" t="s">
        <v>254</v>
      </c>
      <c r="F109" s="436">
        <v>45</v>
      </c>
      <c r="G109" s="607"/>
      <c r="H109" s="608"/>
      <c r="I109" s="608"/>
      <c r="J109" s="608"/>
      <c r="K109" s="609"/>
    </row>
    <row r="110" spans="1:11" ht="23.25" customHeight="1" x14ac:dyDescent="0.55000000000000004">
      <c r="A110" s="633"/>
      <c r="B110" s="670"/>
      <c r="C110" s="667"/>
      <c r="D110" s="422" t="s">
        <v>83</v>
      </c>
      <c r="E110" s="665"/>
      <c r="F110" s="436">
        <v>20</v>
      </c>
      <c r="G110" s="607"/>
      <c r="H110" s="608"/>
      <c r="I110" s="608"/>
      <c r="J110" s="608"/>
      <c r="K110" s="609"/>
    </row>
    <row r="111" spans="1:11" ht="21" customHeight="1" x14ac:dyDescent="0.55000000000000004">
      <c r="A111" s="633"/>
      <c r="B111" s="670"/>
      <c r="C111" s="667"/>
      <c r="D111" s="422" t="s">
        <v>58</v>
      </c>
      <c r="E111" s="665" t="s">
        <v>255</v>
      </c>
      <c r="F111" s="445">
        <v>50</v>
      </c>
      <c r="G111" s="607"/>
      <c r="H111" s="608"/>
      <c r="I111" s="608"/>
      <c r="J111" s="608"/>
      <c r="K111" s="609"/>
    </row>
    <row r="112" spans="1:11" ht="30.75" customHeight="1" x14ac:dyDescent="0.55000000000000004">
      <c r="A112" s="634"/>
      <c r="B112" s="671"/>
      <c r="C112" s="668"/>
      <c r="D112" s="427" t="s">
        <v>83</v>
      </c>
      <c r="E112" s="672"/>
      <c r="F112" s="441">
        <v>25</v>
      </c>
      <c r="G112" s="610"/>
      <c r="H112" s="611"/>
      <c r="I112" s="611"/>
      <c r="J112" s="611"/>
      <c r="K112" s="612"/>
    </row>
    <row r="113" spans="1:11" ht="16.2" x14ac:dyDescent="0.55000000000000004">
      <c r="A113" s="613"/>
      <c r="B113" s="614"/>
      <c r="C113" s="614"/>
      <c r="D113" s="614"/>
      <c r="E113" s="614"/>
      <c r="F113" s="614"/>
      <c r="G113" s="241"/>
      <c r="H113" s="241"/>
      <c r="I113" s="241"/>
      <c r="J113" s="241"/>
      <c r="K113" s="241"/>
    </row>
    <row r="114" spans="1:11" ht="24" customHeight="1" x14ac:dyDescent="0.55000000000000004">
      <c r="A114" s="2"/>
      <c r="B114" s="1"/>
      <c r="C114" s="1"/>
      <c r="D114" s="14"/>
      <c r="E114" s="1"/>
      <c r="F114" s="3"/>
      <c r="G114" s="241"/>
      <c r="H114" s="241"/>
      <c r="I114" s="241"/>
      <c r="J114" s="241"/>
      <c r="K114" s="241"/>
    </row>
    <row r="115" spans="1:11" ht="22.5" customHeight="1" x14ac:dyDescent="0.55000000000000004">
      <c r="A115" s="2"/>
      <c r="B115" s="1"/>
      <c r="C115" s="1"/>
      <c r="D115" s="14"/>
      <c r="E115" s="1"/>
      <c r="F115" s="3"/>
      <c r="G115" s="241"/>
      <c r="H115" s="241"/>
      <c r="I115" s="241"/>
      <c r="J115" s="241"/>
      <c r="K115" s="241"/>
    </row>
    <row r="116" spans="1:11" ht="23.25" customHeight="1" x14ac:dyDescent="0.55000000000000004">
      <c r="A116" s="446"/>
      <c r="B116" s="1"/>
      <c r="C116" s="1"/>
      <c r="D116" s="14"/>
      <c r="E116" s="447"/>
      <c r="F116" s="3"/>
      <c r="G116" s="241"/>
      <c r="H116" s="241"/>
      <c r="I116" s="241"/>
      <c r="J116" s="241"/>
      <c r="K116" s="241"/>
    </row>
    <row r="117" spans="1:11" ht="23.25" customHeight="1" x14ac:dyDescent="0.55000000000000004">
      <c r="A117" s="446"/>
      <c r="B117" s="1"/>
      <c r="C117" s="1"/>
      <c r="D117" s="14"/>
      <c r="E117" s="447"/>
      <c r="F117" s="3"/>
      <c r="G117" s="241"/>
      <c r="H117" s="241"/>
      <c r="I117" s="241"/>
      <c r="J117" s="241"/>
      <c r="K117" s="241"/>
    </row>
  </sheetData>
  <mergeCells count="83">
    <mergeCell ref="G78:K78"/>
    <mergeCell ref="G93:K93"/>
    <mergeCell ref="G89:K89"/>
    <mergeCell ref="D4:K4"/>
    <mergeCell ref="G28:K28"/>
    <mergeCell ref="D6:D7"/>
    <mergeCell ref="J23:J25"/>
    <mergeCell ref="E47:E49"/>
    <mergeCell ref="J17:J18"/>
    <mergeCell ref="D19:I19"/>
    <mergeCell ref="J19:J20"/>
    <mergeCell ref="D20:I20"/>
    <mergeCell ref="J26:J27"/>
    <mergeCell ref="D17:I17"/>
    <mergeCell ref="D18:I18"/>
    <mergeCell ref="D61:D62"/>
    <mergeCell ref="G69:K69"/>
    <mergeCell ref="N44:O44"/>
    <mergeCell ref="B47:B49"/>
    <mergeCell ref="C47:C49"/>
    <mergeCell ref="G47:K47"/>
    <mergeCell ref="G49:K49"/>
    <mergeCell ref="G48:K48"/>
    <mergeCell ref="E105:E106"/>
    <mergeCell ref="E107:E108"/>
    <mergeCell ref="E109:E110"/>
    <mergeCell ref="B93:D94"/>
    <mergeCell ref="C105:C112"/>
    <mergeCell ref="B105:B112"/>
    <mergeCell ref="E111:E112"/>
    <mergeCell ref="A15:A16"/>
    <mergeCell ref="B15:E16"/>
    <mergeCell ref="A28:A29"/>
    <mergeCell ref="B26:B27"/>
    <mergeCell ref="C26:C27"/>
    <mergeCell ref="A17:A20"/>
    <mergeCell ref="A23:A25"/>
    <mergeCell ref="B23:B25"/>
    <mergeCell ref="C23:C25"/>
    <mergeCell ref="D23:I23"/>
    <mergeCell ref="D24:I24"/>
    <mergeCell ref="D25:I25"/>
    <mergeCell ref="B17:B18"/>
    <mergeCell ref="C17:C18"/>
    <mergeCell ref="D26:I26"/>
    <mergeCell ref="D27:I27"/>
    <mergeCell ref="A95:A98"/>
    <mergeCell ref="A99:A101"/>
    <mergeCell ref="B19:B20"/>
    <mergeCell ref="C19:C20"/>
    <mergeCell ref="A26:A27"/>
    <mergeCell ref="A21:A22"/>
    <mergeCell ref="B21:B22"/>
    <mergeCell ref="A52:A54"/>
    <mergeCell ref="A47:A49"/>
    <mergeCell ref="B28:E29"/>
    <mergeCell ref="A36:A40"/>
    <mergeCell ref="A30:A32"/>
    <mergeCell ref="A33:A35"/>
    <mergeCell ref="A44:A46"/>
    <mergeCell ref="D64:D65"/>
    <mergeCell ref="D66:D67"/>
    <mergeCell ref="D21:I21"/>
    <mergeCell ref="D22:I22"/>
    <mergeCell ref="A41:A43"/>
    <mergeCell ref="A56:A58"/>
    <mergeCell ref="A50:A51"/>
    <mergeCell ref="G105:K112"/>
    <mergeCell ref="A113:F113"/>
    <mergeCell ref="A59:A60"/>
    <mergeCell ref="B59:D60"/>
    <mergeCell ref="A61:A69"/>
    <mergeCell ref="A70:A74"/>
    <mergeCell ref="E72:E74"/>
    <mergeCell ref="A75:A77"/>
    <mergeCell ref="A78:A79"/>
    <mergeCell ref="B78:D79"/>
    <mergeCell ref="A84:A87"/>
    <mergeCell ref="A80:A83"/>
    <mergeCell ref="A88:A92"/>
    <mergeCell ref="A93:A94"/>
    <mergeCell ref="A102:A104"/>
    <mergeCell ref="A105:A112"/>
  </mergeCells>
  <pageMargins left="0.25" right="0.25" top="0.75" bottom="0.75" header="0.3" footer="0.3"/>
  <pageSetup paperSize="9" scale="59" fitToHeight="2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K14"/>
  <sheetViews>
    <sheetView workbookViewId="0">
      <selection activeCell="F12" sqref="F12"/>
    </sheetView>
  </sheetViews>
  <sheetFormatPr defaultColWidth="8.83984375" defaultRowHeight="15.3" x14ac:dyDescent="0.55000000000000004"/>
  <cols>
    <col min="1" max="1" width="10.26171875" style="104" customWidth="1"/>
    <col min="2" max="2" width="15.26171875" style="104" customWidth="1"/>
    <col min="3" max="3" width="14.41796875" style="103" customWidth="1"/>
    <col min="4" max="4" width="15.26171875" style="269" customWidth="1"/>
    <col min="5" max="5" width="14.41796875" style="267" customWidth="1"/>
    <col min="6" max="6" width="18.578125" style="267" customWidth="1"/>
    <col min="7" max="7" width="18" style="267" customWidth="1"/>
    <col min="8" max="9" width="18.41796875" style="267" customWidth="1"/>
    <col min="10" max="11" width="12.578125" style="267" customWidth="1"/>
    <col min="12" max="241" width="8.83984375" style="192"/>
    <col min="242" max="242" width="11.68359375" style="192" customWidth="1"/>
    <col min="243" max="243" width="8.578125" style="192" customWidth="1"/>
    <col min="244" max="244" width="4.68359375" style="192" customWidth="1"/>
    <col min="245" max="245" width="55.41796875" style="192" customWidth="1"/>
    <col min="246" max="246" width="9.26171875" style="192" customWidth="1"/>
    <col min="247" max="247" width="9.68359375" style="192" customWidth="1"/>
    <col min="248" max="16384" width="8.83984375" style="192"/>
  </cols>
  <sheetData>
    <row r="1" spans="1:9" x14ac:dyDescent="0.55000000000000004">
      <c r="A1" s="192" t="s">
        <v>53</v>
      </c>
      <c r="B1" s="192"/>
      <c r="D1" s="103"/>
      <c r="E1" s="104"/>
    </row>
    <row r="2" spans="1:9" x14ac:dyDescent="0.55000000000000004">
      <c r="A2" s="268" t="s">
        <v>257</v>
      </c>
      <c r="B2" s="268"/>
      <c r="D2" s="103"/>
      <c r="E2" s="104"/>
    </row>
    <row r="4" spans="1:9" ht="30" x14ac:dyDescent="0.55000000000000004">
      <c r="A4" s="715" t="s">
        <v>282</v>
      </c>
      <c r="B4" s="715"/>
      <c r="C4" s="715"/>
      <c r="D4" s="715"/>
      <c r="E4" s="715"/>
      <c r="F4" s="715"/>
      <c r="G4" s="715"/>
      <c r="H4" s="715"/>
      <c r="I4" s="715"/>
    </row>
    <row r="6" spans="1:9" ht="38.25" customHeight="1" x14ac:dyDescent="0.55000000000000004">
      <c r="A6" s="716" t="s">
        <v>208</v>
      </c>
      <c r="B6" s="717"/>
      <c r="C6" s="270" t="s">
        <v>283</v>
      </c>
      <c r="D6" s="271" t="s">
        <v>284</v>
      </c>
      <c r="E6" s="272" t="s">
        <v>285</v>
      </c>
      <c r="F6" s="273" t="s">
        <v>286</v>
      </c>
      <c r="G6" s="274" t="s">
        <v>287</v>
      </c>
      <c r="H6" s="275" t="s">
        <v>288</v>
      </c>
      <c r="I6" s="271" t="s">
        <v>289</v>
      </c>
    </row>
    <row r="7" spans="1:9" ht="61.5" customHeight="1" x14ac:dyDescent="0.55000000000000004">
      <c r="A7" s="718"/>
      <c r="B7" s="719"/>
      <c r="C7" s="457" t="s">
        <v>373</v>
      </c>
      <c r="D7" s="456" t="s">
        <v>376</v>
      </c>
      <c r="E7" s="456" t="s">
        <v>378</v>
      </c>
      <c r="F7" s="456" t="s">
        <v>381</v>
      </c>
      <c r="G7" s="456" t="s">
        <v>462</v>
      </c>
      <c r="H7" s="456" t="s">
        <v>461</v>
      </c>
      <c r="I7" s="456" t="s">
        <v>460</v>
      </c>
    </row>
    <row r="8" spans="1:9" ht="34.5" customHeight="1" x14ac:dyDescent="0.55000000000000004">
      <c r="A8" s="720" t="s">
        <v>290</v>
      </c>
      <c r="B8" s="721"/>
      <c r="C8" s="276">
        <v>200</v>
      </c>
      <c r="D8" s="276">
        <v>300</v>
      </c>
      <c r="E8" s="276">
        <v>400</v>
      </c>
      <c r="F8" s="276">
        <v>600</v>
      </c>
      <c r="G8" s="276">
        <v>800</v>
      </c>
      <c r="H8" s="276">
        <v>900</v>
      </c>
      <c r="I8" s="276">
        <v>1000</v>
      </c>
    </row>
    <row r="9" spans="1:9" ht="70.5" customHeight="1" x14ac:dyDescent="0.55000000000000004">
      <c r="A9" s="722" t="s">
        <v>291</v>
      </c>
      <c r="B9" s="723"/>
      <c r="C9" s="277" t="s">
        <v>292</v>
      </c>
      <c r="D9" s="277" t="s">
        <v>292</v>
      </c>
      <c r="E9" s="277" t="s">
        <v>292</v>
      </c>
      <c r="F9" s="278" t="s">
        <v>293</v>
      </c>
      <c r="G9" s="278" t="s">
        <v>294</v>
      </c>
      <c r="H9" s="278" t="s">
        <v>294</v>
      </c>
      <c r="I9" s="278" t="s">
        <v>294</v>
      </c>
    </row>
    <row r="10" spans="1:9" ht="30.6" x14ac:dyDescent="0.55000000000000004">
      <c r="A10" s="724" t="s">
        <v>295</v>
      </c>
      <c r="B10" s="279" t="s">
        <v>296</v>
      </c>
      <c r="C10" s="280" t="s">
        <v>297</v>
      </c>
      <c r="D10" s="281" t="s">
        <v>298</v>
      </c>
      <c r="E10" s="282" t="s">
        <v>299</v>
      </c>
      <c r="F10" s="282" t="s">
        <v>300</v>
      </c>
      <c r="G10" s="282" t="s">
        <v>300</v>
      </c>
      <c r="H10" s="282" t="s">
        <v>301</v>
      </c>
      <c r="I10" s="282" t="s">
        <v>301</v>
      </c>
    </row>
    <row r="11" spans="1:9" ht="27.6" x14ac:dyDescent="0.55000000000000004">
      <c r="A11" s="725"/>
      <c r="B11" s="283" t="s">
        <v>302</v>
      </c>
      <c r="C11" s="726" t="s">
        <v>39</v>
      </c>
      <c r="D11" s="727"/>
      <c r="E11" s="727"/>
      <c r="F11" s="727"/>
      <c r="G11" s="728"/>
      <c r="H11" s="282" t="s">
        <v>301</v>
      </c>
      <c r="I11" s="282" t="s">
        <v>301</v>
      </c>
    </row>
    <row r="12" spans="1:9" ht="153" x14ac:dyDescent="0.55000000000000004">
      <c r="A12" s="710" t="s">
        <v>303</v>
      </c>
      <c r="B12" s="711"/>
      <c r="C12" s="712" t="s">
        <v>39</v>
      </c>
      <c r="D12" s="712"/>
      <c r="E12" s="712"/>
      <c r="F12" s="284" t="s">
        <v>304</v>
      </c>
      <c r="G12" s="284" t="s">
        <v>305</v>
      </c>
      <c r="H12" s="284" t="s">
        <v>306</v>
      </c>
      <c r="I12" s="285" t="s">
        <v>307</v>
      </c>
    </row>
    <row r="13" spans="1:9" ht="18.3" x14ac:dyDescent="0.55000000000000004">
      <c r="A13" s="710" t="s">
        <v>308</v>
      </c>
      <c r="B13" s="711"/>
      <c r="C13" s="713"/>
      <c r="D13" s="714"/>
      <c r="E13" s="286" t="s">
        <v>309</v>
      </c>
      <c r="F13" s="286" t="s">
        <v>309</v>
      </c>
      <c r="G13" s="286" t="s">
        <v>309</v>
      </c>
      <c r="H13" s="286" t="s">
        <v>309</v>
      </c>
      <c r="I13" s="286" t="s">
        <v>309</v>
      </c>
    </row>
    <row r="14" spans="1:9" x14ac:dyDescent="0.55000000000000004">
      <c r="A14" s="287" t="s">
        <v>310</v>
      </c>
      <c r="B14" s="287"/>
      <c r="C14" s="288"/>
      <c r="F14" s="267" t="s">
        <v>39</v>
      </c>
    </row>
  </sheetData>
  <mergeCells count="10">
    <mergeCell ref="A12:B12"/>
    <mergeCell ref="C12:E12"/>
    <mergeCell ref="A13:B13"/>
    <mergeCell ref="C13:D13"/>
    <mergeCell ref="A4:I4"/>
    <mergeCell ref="A6:B7"/>
    <mergeCell ref="A8:B8"/>
    <mergeCell ref="A9:B9"/>
    <mergeCell ref="A10:A11"/>
    <mergeCell ref="C11:G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F24"/>
  <sheetViews>
    <sheetView view="pageLayout" topLeftCell="A12" zoomScaleNormal="100" workbookViewId="0">
      <selection activeCell="A6" sqref="A1:IV65536"/>
    </sheetView>
  </sheetViews>
  <sheetFormatPr defaultColWidth="8.68359375" defaultRowHeight="15.6" x14ac:dyDescent="0.6"/>
  <cols>
    <col min="1" max="1" width="6.68359375" style="122" customWidth="1"/>
    <col min="2" max="2" width="10.26171875" style="121" customWidth="1"/>
    <col min="3" max="3" width="5.26171875" style="121" customWidth="1"/>
    <col min="4" max="4" width="65.26171875" style="122" customWidth="1"/>
    <col min="5" max="5" width="13.68359375" style="123" customWidth="1"/>
    <col min="6" max="6" width="9.26171875" style="121" customWidth="1"/>
    <col min="7" max="16384" width="8.68359375" style="106"/>
  </cols>
  <sheetData>
    <row r="1" spans="1:6" hidden="1" x14ac:dyDescent="0.6">
      <c r="A1" s="729" t="s">
        <v>53</v>
      </c>
      <c r="B1" s="729"/>
    </row>
    <row r="2" spans="1:6" hidden="1" x14ac:dyDescent="0.6">
      <c r="A2" s="729" t="s">
        <v>52</v>
      </c>
      <c r="B2" s="729"/>
    </row>
    <row r="3" spans="1:6" hidden="1" x14ac:dyDescent="0.6"/>
    <row r="4" spans="1:6" ht="34.5" hidden="1" customHeight="1" x14ac:dyDescent="0.6">
      <c r="A4" s="730" t="s">
        <v>54</v>
      </c>
      <c r="B4" s="730"/>
      <c r="C4" s="730"/>
      <c r="D4" s="730"/>
      <c r="E4" s="730"/>
    </row>
    <row r="5" spans="1:6" ht="19.5" hidden="1" customHeight="1" x14ac:dyDescent="0.6">
      <c r="A5" s="125"/>
      <c r="B5" s="124"/>
      <c r="C5" s="124"/>
      <c r="D5" s="125"/>
      <c r="E5" s="126"/>
    </row>
    <row r="6" spans="1:6" s="127" customFormat="1" ht="45" customHeight="1" x14ac:dyDescent="0.5">
      <c r="A6" s="732" t="s">
        <v>202</v>
      </c>
      <c r="B6" s="731" t="s">
        <v>211</v>
      </c>
      <c r="C6" s="731"/>
      <c r="D6" s="731"/>
      <c r="E6" s="136" t="s">
        <v>112</v>
      </c>
    </row>
    <row r="7" spans="1:6" s="127" customFormat="1" ht="24" customHeight="1" x14ac:dyDescent="0.65">
      <c r="A7" s="733"/>
      <c r="B7" s="656"/>
      <c r="C7" s="656"/>
      <c r="D7" s="656"/>
      <c r="E7" s="137">
        <f>E8+E15+E18+E22</f>
        <v>180</v>
      </c>
    </row>
    <row r="8" spans="1:6" s="128" customFormat="1" ht="25.15" customHeight="1" x14ac:dyDescent="0.65">
      <c r="A8" s="734" t="s">
        <v>208</v>
      </c>
      <c r="B8" s="735"/>
      <c r="C8" s="168">
        <v>1</v>
      </c>
      <c r="D8" s="166" t="s">
        <v>204</v>
      </c>
      <c r="E8" s="167">
        <f>E9+E14</f>
        <v>140</v>
      </c>
      <c r="F8" s="138"/>
    </row>
    <row r="9" spans="1:6" s="112" customFormat="1" ht="34.9" customHeight="1" x14ac:dyDescent="0.6">
      <c r="A9" s="736" t="s">
        <v>213</v>
      </c>
      <c r="B9" s="139" t="s">
        <v>203</v>
      </c>
      <c r="C9" s="140">
        <v>1</v>
      </c>
      <c r="D9" s="131" t="s">
        <v>102</v>
      </c>
      <c r="E9" s="141">
        <v>100</v>
      </c>
      <c r="F9" s="142"/>
    </row>
    <row r="10" spans="1:6" s="112" customFormat="1" ht="25.15" customHeight="1" x14ac:dyDescent="0.6">
      <c r="A10" s="737"/>
      <c r="B10" s="143" t="s">
        <v>203</v>
      </c>
      <c r="C10" s="144">
        <v>2</v>
      </c>
      <c r="D10" s="145" t="s">
        <v>2</v>
      </c>
      <c r="E10" s="146">
        <v>90</v>
      </c>
      <c r="F10" s="142"/>
    </row>
    <row r="11" spans="1:6" s="112" customFormat="1" ht="25.15" customHeight="1" x14ac:dyDescent="0.6">
      <c r="A11" s="737"/>
      <c r="B11" s="139" t="s">
        <v>203</v>
      </c>
      <c r="C11" s="140">
        <v>3</v>
      </c>
      <c r="D11" s="131" t="s">
        <v>101</v>
      </c>
      <c r="E11" s="141">
        <v>70</v>
      </c>
      <c r="F11" s="142"/>
    </row>
    <row r="12" spans="1:6" s="112" customFormat="1" ht="34.9" customHeight="1" x14ac:dyDescent="0.6">
      <c r="A12" s="738"/>
      <c r="B12" s="139" t="s">
        <v>203</v>
      </c>
      <c r="C12" s="140">
        <v>4</v>
      </c>
      <c r="D12" s="131" t="s">
        <v>108</v>
      </c>
      <c r="E12" s="141">
        <v>50</v>
      </c>
      <c r="F12" s="142"/>
    </row>
    <row r="13" spans="1:6" s="112" customFormat="1" ht="25.15" customHeight="1" x14ac:dyDescent="0.6">
      <c r="A13" s="739" t="s">
        <v>214</v>
      </c>
      <c r="B13" s="139" t="s">
        <v>203</v>
      </c>
      <c r="C13" s="140">
        <v>5</v>
      </c>
      <c r="D13" s="131" t="s">
        <v>57</v>
      </c>
      <c r="E13" s="141">
        <v>25</v>
      </c>
      <c r="F13" s="142"/>
    </row>
    <row r="14" spans="1:6" s="112" customFormat="1" ht="25.15" customHeight="1" x14ac:dyDescent="0.6">
      <c r="A14" s="739"/>
      <c r="B14" s="139" t="s">
        <v>203</v>
      </c>
      <c r="C14" s="140">
        <v>6</v>
      </c>
      <c r="D14" s="147" t="s">
        <v>3</v>
      </c>
      <c r="E14" s="141">
        <v>40</v>
      </c>
      <c r="F14" s="142"/>
    </row>
    <row r="15" spans="1:6" s="128" customFormat="1" ht="25.15" customHeight="1" x14ac:dyDescent="0.65">
      <c r="A15" s="734" t="s">
        <v>208</v>
      </c>
      <c r="B15" s="735"/>
      <c r="C15" s="168">
        <v>2</v>
      </c>
      <c r="D15" s="166" t="s">
        <v>205</v>
      </c>
      <c r="E15" s="167">
        <f>E17+E23+E27+E31+E34</f>
        <v>15</v>
      </c>
      <c r="F15" s="138"/>
    </row>
    <row r="16" spans="1:6" s="112" customFormat="1" ht="25.15" customHeight="1" x14ac:dyDescent="0.6">
      <c r="A16" s="148"/>
      <c r="B16" s="149" t="s">
        <v>203</v>
      </c>
      <c r="C16" s="140">
        <v>7</v>
      </c>
      <c r="D16" s="131" t="s">
        <v>209</v>
      </c>
      <c r="E16" s="141">
        <v>5</v>
      </c>
      <c r="F16" s="142"/>
    </row>
    <row r="17" spans="1:6" s="112" customFormat="1" ht="25.15" customHeight="1" x14ac:dyDescent="0.6">
      <c r="A17" s="148"/>
      <c r="B17" s="149" t="s">
        <v>203</v>
      </c>
      <c r="C17" s="140">
        <v>8</v>
      </c>
      <c r="D17" s="131" t="s">
        <v>210</v>
      </c>
      <c r="E17" s="141">
        <v>10</v>
      </c>
      <c r="F17" s="142"/>
    </row>
    <row r="18" spans="1:6" s="128" customFormat="1" ht="25.15" customHeight="1" x14ac:dyDescent="0.65">
      <c r="A18" s="734" t="s">
        <v>208</v>
      </c>
      <c r="B18" s="735"/>
      <c r="C18" s="168">
        <v>3</v>
      </c>
      <c r="D18" s="166" t="s">
        <v>206</v>
      </c>
      <c r="E18" s="167">
        <f>E20+E27+E31+E35+E38</f>
        <v>15</v>
      </c>
      <c r="F18" s="138"/>
    </row>
    <row r="19" spans="1:6" s="112" customFormat="1" ht="25.15" customHeight="1" x14ac:dyDescent="0.6">
      <c r="A19" s="148"/>
      <c r="B19" s="129" t="s">
        <v>203</v>
      </c>
      <c r="C19" s="130">
        <v>9</v>
      </c>
      <c r="D19" s="150" t="s">
        <v>212</v>
      </c>
      <c r="E19" s="151">
        <v>10</v>
      </c>
      <c r="F19" s="142"/>
    </row>
    <row r="20" spans="1:6" s="112" customFormat="1" ht="25.15" customHeight="1" x14ac:dyDescent="0.6">
      <c r="A20" s="148"/>
      <c r="B20" s="129" t="s">
        <v>203</v>
      </c>
      <c r="C20" s="130">
        <v>10</v>
      </c>
      <c r="D20" s="150" t="s">
        <v>131</v>
      </c>
      <c r="E20" s="152">
        <v>15</v>
      </c>
      <c r="F20" s="142"/>
    </row>
    <row r="21" spans="1:6" s="112" customFormat="1" ht="25.15" customHeight="1" x14ac:dyDescent="0.6">
      <c r="A21" s="148"/>
      <c r="B21" s="129" t="s">
        <v>203</v>
      </c>
      <c r="C21" s="130">
        <v>11</v>
      </c>
      <c r="D21" s="150" t="s">
        <v>132</v>
      </c>
      <c r="E21" s="153">
        <v>20</v>
      </c>
      <c r="F21" s="142"/>
    </row>
    <row r="22" spans="1:6" s="128" customFormat="1" ht="25.15" customHeight="1" x14ac:dyDescent="0.65">
      <c r="A22" s="734" t="s">
        <v>208</v>
      </c>
      <c r="B22" s="735"/>
      <c r="C22" s="168">
        <v>4</v>
      </c>
      <c r="D22" s="166" t="s">
        <v>207</v>
      </c>
      <c r="E22" s="167">
        <f>E24+E32+E36+E40+E43</f>
        <v>10</v>
      </c>
      <c r="F22" s="138"/>
    </row>
    <row r="23" spans="1:6" s="112" customFormat="1" ht="25.15" customHeight="1" x14ac:dyDescent="0.6">
      <c r="A23" s="148"/>
      <c r="B23" s="129" t="s">
        <v>203</v>
      </c>
      <c r="C23" s="130">
        <v>12</v>
      </c>
      <c r="D23" s="133" t="s">
        <v>109</v>
      </c>
      <c r="E23" s="151">
        <v>5</v>
      </c>
      <c r="F23" s="142"/>
    </row>
    <row r="24" spans="1:6" s="112" customFormat="1" ht="36" customHeight="1" x14ac:dyDescent="0.6">
      <c r="A24" s="148"/>
      <c r="B24" s="129" t="s">
        <v>203</v>
      </c>
      <c r="C24" s="130">
        <v>13</v>
      </c>
      <c r="D24" s="154" t="s">
        <v>110</v>
      </c>
      <c r="E24" s="155">
        <v>10</v>
      </c>
      <c r="F24" s="142"/>
    </row>
  </sheetData>
  <mergeCells count="11">
    <mergeCell ref="A22:B22"/>
    <mergeCell ref="A8:B8"/>
    <mergeCell ref="A15:B15"/>
    <mergeCell ref="A18:B18"/>
    <mergeCell ref="A9:A12"/>
    <mergeCell ref="A13:A14"/>
    <mergeCell ref="A1:B1"/>
    <mergeCell ref="A2:B2"/>
    <mergeCell ref="A4:E4"/>
    <mergeCell ref="B6:D7"/>
    <mergeCell ref="A6:A7"/>
  </mergeCells>
  <pageMargins left="0.25" right="0.25"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E58"/>
  <sheetViews>
    <sheetView view="pageLayout" topLeftCell="A6" zoomScale="110" zoomScaleNormal="120" zoomScalePageLayoutView="110" workbookViewId="0">
      <selection activeCell="D69" sqref="D69"/>
    </sheetView>
  </sheetViews>
  <sheetFormatPr defaultColWidth="8.68359375" defaultRowHeight="15.6" x14ac:dyDescent="0.6"/>
  <cols>
    <col min="1" max="1" width="6.68359375" style="121" customWidth="1"/>
    <col min="2" max="2" width="10.68359375" style="103" customWidth="1"/>
    <col min="3" max="3" width="5.578125" style="103" customWidth="1"/>
    <col min="4" max="4" width="66.68359375" style="122" customWidth="1"/>
    <col min="5" max="5" width="11.41796875" style="105" customWidth="1"/>
    <col min="6" max="16384" width="8.68359375" style="106"/>
  </cols>
  <sheetData>
    <row r="1" spans="1:5" hidden="1" x14ac:dyDescent="0.6">
      <c r="A1" s="729" t="s">
        <v>53</v>
      </c>
      <c r="B1" s="729"/>
    </row>
    <row r="2" spans="1:5" hidden="1" x14ac:dyDescent="0.6">
      <c r="A2" s="729" t="s">
        <v>52</v>
      </c>
      <c r="B2" s="729"/>
    </row>
    <row r="3" spans="1:5" hidden="1" x14ac:dyDescent="0.6"/>
    <row r="4" spans="1:5" ht="34.5" hidden="1" customHeight="1" x14ac:dyDescent="0.6">
      <c r="A4" s="730" t="s">
        <v>54</v>
      </c>
      <c r="B4" s="730"/>
      <c r="C4" s="730"/>
      <c r="D4" s="730"/>
      <c r="E4" s="730"/>
    </row>
    <row r="5" spans="1:5" ht="19.5" hidden="1" customHeight="1" x14ac:dyDescent="0.6">
      <c r="A5" s="124"/>
      <c r="B5" s="108"/>
      <c r="C5" s="108"/>
      <c r="D5" s="125"/>
      <c r="E5" s="109"/>
    </row>
    <row r="6" spans="1:5" s="127" customFormat="1" ht="45" customHeight="1" x14ac:dyDescent="0.5">
      <c r="A6" s="747" t="s">
        <v>215</v>
      </c>
      <c r="B6" s="749" t="s">
        <v>113</v>
      </c>
      <c r="C6" s="749"/>
      <c r="D6" s="749"/>
      <c r="E6" s="177" t="s">
        <v>112</v>
      </c>
    </row>
    <row r="7" spans="1:5" s="127" customFormat="1" ht="24" customHeight="1" x14ac:dyDescent="0.5">
      <c r="A7" s="748"/>
      <c r="B7" s="750"/>
      <c r="C7" s="750"/>
      <c r="D7" s="750"/>
      <c r="E7" s="159">
        <f>E8+E12+E16+E22+E26+E30+E34+E38+E49+E54+E43</f>
        <v>450</v>
      </c>
    </row>
    <row r="8" spans="1:5" s="128" customFormat="1" ht="25.15" customHeight="1" x14ac:dyDescent="0.65">
      <c r="A8" s="740" t="s">
        <v>208</v>
      </c>
      <c r="B8" s="740"/>
      <c r="C8" s="161">
        <v>5</v>
      </c>
      <c r="D8" s="161" t="s">
        <v>216</v>
      </c>
      <c r="E8" s="162">
        <f>E9+E10+E11</f>
        <v>15</v>
      </c>
    </row>
    <row r="9" spans="1:5" s="112" customFormat="1" ht="25.15" customHeight="1" x14ac:dyDescent="0.6">
      <c r="A9" s="751"/>
      <c r="B9" s="118" t="s">
        <v>203</v>
      </c>
      <c r="C9" s="117">
        <v>12</v>
      </c>
      <c r="D9" s="131" t="s">
        <v>114</v>
      </c>
      <c r="E9" s="156">
        <v>5</v>
      </c>
    </row>
    <row r="10" spans="1:5" s="112" customFormat="1" ht="38.5" customHeight="1" x14ac:dyDescent="0.6">
      <c r="A10" s="751"/>
      <c r="B10" s="118" t="s">
        <v>203</v>
      </c>
      <c r="C10" s="117">
        <v>13</v>
      </c>
      <c r="D10" s="131" t="s">
        <v>115</v>
      </c>
      <c r="E10" s="156">
        <v>5</v>
      </c>
    </row>
    <row r="11" spans="1:5" s="112" customFormat="1" ht="25.15" customHeight="1" x14ac:dyDescent="0.6">
      <c r="A11" s="751"/>
      <c r="B11" s="118" t="s">
        <v>203</v>
      </c>
      <c r="C11" s="117">
        <v>14</v>
      </c>
      <c r="D11" s="131" t="s">
        <v>116</v>
      </c>
      <c r="E11" s="156">
        <v>5</v>
      </c>
    </row>
    <row r="12" spans="1:5" s="112" customFormat="1" ht="25.15" customHeight="1" x14ac:dyDescent="0.6">
      <c r="A12" s="740" t="s">
        <v>208</v>
      </c>
      <c r="B12" s="740"/>
      <c r="C12" s="161">
        <v>6</v>
      </c>
      <c r="D12" s="161" t="s">
        <v>187</v>
      </c>
      <c r="E12" s="162">
        <f>SUM(E13:E15)</f>
        <v>15</v>
      </c>
    </row>
    <row r="13" spans="1:5" s="112" customFormat="1" ht="38.5" customHeight="1" x14ac:dyDescent="0.6">
      <c r="A13" s="743"/>
      <c r="B13" s="118" t="s">
        <v>203</v>
      </c>
      <c r="C13" s="117">
        <v>15</v>
      </c>
      <c r="D13" s="131" t="s">
        <v>117</v>
      </c>
      <c r="E13" s="156">
        <v>5</v>
      </c>
    </row>
    <row r="14" spans="1:5" s="112" customFormat="1" ht="52.9" customHeight="1" x14ac:dyDescent="0.6">
      <c r="A14" s="744"/>
      <c r="B14" s="118" t="s">
        <v>203</v>
      </c>
      <c r="C14" s="117">
        <v>16</v>
      </c>
      <c r="D14" s="131" t="s">
        <v>118</v>
      </c>
      <c r="E14" s="156">
        <v>5</v>
      </c>
    </row>
    <row r="15" spans="1:5" s="112" customFormat="1" ht="38.5" customHeight="1" x14ac:dyDescent="0.6">
      <c r="A15" s="745"/>
      <c r="B15" s="118" t="s">
        <v>203</v>
      </c>
      <c r="C15" s="117">
        <v>17</v>
      </c>
      <c r="D15" s="131" t="s">
        <v>119</v>
      </c>
      <c r="E15" s="156">
        <v>5</v>
      </c>
    </row>
    <row r="16" spans="1:5" s="112" customFormat="1" ht="25.15" customHeight="1" x14ac:dyDescent="0.6">
      <c r="A16" s="740" t="s">
        <v>208</v>
      </c>
      <c r="B16" s="740"/>
      <c r="C16" s="161">
        <v>7</v>
      </c>
      <c r="D16" s="161" t="s">
        <v>220</v>
      </c>
      <c r="E16" s="162">
        <f>SUM(E17:E21)</f>
        <v>60</v>
      </c>
    </row>
    <row r="17" spans="1:5" s="112" customFormat="1" ht="38.5" customHeight="1" x14ac:dyDescent="0.6">
      <c r="A17" s="743"/>
      <c r="B17" s="118" t="s">
        <v>203</v>
      </c>
      <c r="C17" s="117">
        <v>18</v>
      </c>
      <c r="D17" s="132" t="s">
        <v>217</v>
      </c>
      <c r="E17" s="157">
        <v>10</v>
      </c>
    </row>
    <row r="18" spans="1:5" s="112" customFormat="1" ht="38.5" customHeight="1" x14ac:dyDescent="0.6">
      <c r="A18" s="744"/>
      <c r="B18" s="118" t="s">
        <v>203</v>
      </c>
      <c r="C18" s="117">
        <v>19</v>
      </c>
      <c r="D18" s="132" t="s">
        <v>121</v>
      </c>
      <c r="E18" s="157">
        <v>10</v>
      </c>
    </row>
    <row r="19" spans="1:5" s="112" customFormat="1" ht="46.15" customHeight="1" x14ac:dyDescent="0.6">
      <c r="A19" s="745"/>
      <c r="B19" s="118" t="s">
        <v>203</v>
      </c>
      <c r="C19" s="117">
        <v>20</v>
      </c>
      <c r="D19" s="132" t="s">
        <v>218</v>
      </c>
      <c r="E19" s="157">
        <v>10</v>
      </c>
    </row>
    <row r="20" spans="1:5" s="112" customFormat="1" ht="38.5" customHeight="1" x14ac:dyDescent="0.6">
      <c r="A20" s="743"/>
      <c r="B20" s="118" t="s">
        <v>203</v>
      </c>
      <c r="C20" s="117">
        <v>21</v>
      </c>
      <c r="D20" s="132" t="s">
        <v>219</v>
      </c>
      <c r="E20" s="157">
        <v>10</v>
      </c>
    </row>
    <row r="21" spans="1:5" s="112" customFormat="1" ht="49.15" customHeight="1" x14ac:dyDescent="0.6">
      <c r="A21" s="744"/>
      <c r="B21" s="118" t="s">
        <v>203</v>
      </c>
      <c r="C21" s="117">
        <v>22</v>
      </c>
      <c r="D21" s="132" t="s">
        <v>122</v>
      </c>
      <c r="E21" s="157">
        <v>20</v>
      </c>
    </row>
    <row r="22" spans="1:5" s="112" customFormat="1" ht="33" customHeight="1" x14ac:dyDescent="0.6">
      <c r="A22" s="740" t="s">
        <v>208</v>
      </c>
      <c r="B22" s="740"/>
      <c r="C22" s="161">
        <v>8</v>
      </c>
      <c r="D22" s="162" t="s">
        <v>229</v>
      </c>
      <c r="E22" s="162">
        <f>E25</f>
        <v>80</v>
      </c>
    </row>
    <row r="23" spans="1:5" s="112" customFormat="1" ht="39" customHeight="1" x14ac:dyDescent="0.6">
      <c r="A23" s="741" t="s">
        <v>226</v>
      </c>
      <c r="B23" s="118" t="s">
        <v>203</v>
      </c>
      <c r="C23" s="117">
        <v>23</v>
      </c>
      <c r="D23" s="131" t="s">
        <v>221</v>
      </c>
      <c r="E23" s="116">
        <v>40</v>
      </c>
    </row>
    <row r="24" spans="1:5" s="112" customFormat="1" ht="72.599999999999994" customHeight="1" x14ac:dyDescent="0.6">
      <c r="A24" s="742"/>
      <c r="B24" s="118" t="s">
        <v>203</v>
      </c>
      <c r="C24" s="117">
        <v>24</v>
      </c>
      <c r="D24" s="131" t="s">
        <v>123</v>
      </c>
      <c r="E24" s="116">
        <v>60</v>
      </c>
    </row>
    <row r="25" spans="1:5" s="112" customFormat="1" ht="49.15" customHeight="1" x14ac:dyDescent="0.6">
      <c r="A25" s="742"/>
      <c r="B25" s="118" t="s">
        <v>203</v>
      </c>
      <c r="C25" s="117">
        <v>25</v>
      </c>
      <c r="D25" s="131" t="s">
        <v>124</v>
      </c>
      <c r="E25" s="116">
        <v>80</v>
      </c>
    </row>
    <row r="26" spans="1:5" s="112" customFormat="1" ht="24.6" customHeight="1" x14ac:dyDescent="0.6">
      <c r="A26" s="740" t="s">
        <v>208</v>
      </c>
      <c r="B26" s="740"/>
      <c r="C26" s="161">
        <v>9</v>
      </c>
      <c r="D26" s="164" t="s">
        <v>230</v>
      </c>
      <c r="E26" s="162">
        <f>E29</f>
        <v>30</v>
      </c>
    </row>
    <row r="27" spans="1:5" s="112" customFormat="1" ht="25.15" customHeight="1" x14ac:dyDescent="0.6">
      <c r="A27" s="741" t="s">
        <v>226</v>
      </c>
      <c r="B27" s="149" t="s">
        <v>203</v>
      </c>
      <c r="C27" s="140">
        <v>26</v>
      </c>
      <c r="D27" s="131" t="s">
        <v>127</v>
      </c>
      <c r="E27" s="158">
        <v>10</v>
      </c>
    </row>
    <row r="28" spans="1:5" s="112" customFormat="1" ht="38.5" customHeight="1" x14ac:dyDescent="0.6">
      <c r="A28" s="742"/>
      <c r="B28" s="149" t="s">
        <v>203</v>
      </c>
      <c r="C28" s="140">
        <v>27</v>
      </c>
      <c r="D28" s="131" t="s">
        <v>125</v>
      </c>
      <c r="E28" s="158">
        <v>20</v>
      </c>
    </row>
    <row r="29" spans="1:5" s="112" customFormat="1" ht="38.5" customHeight="1" x14ac:dyDescent="0.6">
      <c r="A29" s="742"/>
      <c r="B29" s="149" t="s">
        <v>203</v>
      </c>
      <c r="C29" s="140">
        <v>28</v>
      </c>
      <c r="D29" s="131" t="s">
        <v>126</v>
      </c>
      <c r="E29" s="158">
        <v>30</v>
      </c>
    </row>
    <row r="30" spans="1:5" s="112" customFormat="1" ht="25.15" customHeight="1" x14ac:dyDescent="0.6">
      <c r="A30" s="740" t="s">
        <v>208</v>
      </c>
      <c r="B30" s="740"/>
      <c r="C30" s="161">
        <v>10</v>
      </c>
      <c r="D30" s="162" t="s">
        <v>228</v>
      </c>
      <c r="E30" s="162">
        <f>E33</f>
        <v>30</v>
      </c>
    </row>
    <row r="31" spans="1:5" s="112" customFormat="1" ht="37.15" customHeight="1" x14ac:dyDescent="0.6">
      <c r="A31" s="741" t="s">
        <v>226</v>
      </c>
      <c r="B31" s="118" t="s">
        <v>203</v>
      </c>
      <c r="C31" s="117">
        <v>29</v>
      </c>
      <c r="D31" s="131" t="s">
        <v>128</v>
      </c>
      <c r="E31" s="116">
        <v>10</v>
      </c>
    </row>
    <row r="32" spans="1:5" s="112" customFormat="1" ht="37.15" customHeight="1" x14ac:dyDescent="0.6">
      <c r="A32" s="742"/>
      <c r="B32" s="118" t="s">
        <v>203</v>
      </c>
      <c r="C32" s="117">
        <v>30</v>
      </c>
      <c r="D32" s="131" t="s">
        <v>129</v>
      </c>
      <c r="E32" s="116">
        <v>20</v>
      </c>
    </row>
    <row r="33" spans="1:5" s="112" customFormat="1" ht="37.15" customHeight="1" x14ac:dyDescent="0.6">
      <c r="A33" s="742"/>
      <c r="B33" s="118" t="s">
        <v>203</v>
      </c>
      <c r="C33" s="117">
        <v>31</v>
      </c>
      <c r="D33" s="131" t="s">
        <v>130</v>
      </c>
      <c r="E33" s="116">
        <v>30</v>
      </c>
    </row>
    <row r="34" spans="1:5" s="112" customFormat="1" ht="25.15" customHeight="1" x14ac:dyDescent="0.6">
      <c r="A34" s="740" t="s">
        <v>208</v>
      </c>
      <c r="B34" s="740"/>
      <c r="C34" s="161">
        <v>11</v>
      </c>
      <c r="D34" s="162" t="s">
        <v>227</v>
      </c>
      <c r="E34" s="162">
        <f>E37</f>
        <v>30</v>
      </c>
    </row>
    <row r="35" spans="1:5" s="112" customFormat="1" ht="37.15" customHeight="1" x14ac:dyDescent="0.6">
      <c r="A35" s="741" t="s">
        <v>226</v>
      </c>
      <c r="B35" s="118" t="s">
        <v>203</v>
      </c>
      <c r="C35" s="117">
        <v>32</v>
      </c>
      <c r="D35" s="131" t="s">
        <v>133</v>
      </c>
      <c r="E35" s="116">
        <v>10</v>
      </c>
    </row>
    <row r="36" spans="1:5" s="112" customFormat="1" ht="37.15" customHeight="1" x14ac:dyDescent="0.6">
      <c r="A36" s="742"/>
      <c r="B36" s="118" t="s">
        <v>203</v>
      </c>
      <c r="C36" s="117">
        <v>33</v>
      </c>
      <c r="D36" s="131" t="s">
        <v>134</v>
      </c>
      <c r="E36" s="116">
        <v>20</v>
      </c>
    </row>
    <row r="37" spans="1:5" s="112" customFormat="1" ht="37.15" customHeight="1" x14ac:dyDescent="0.6">
      <c r="A37" s="742"/>
      <c r="B37" s="118" t="s">
        <v>203</v>
      </c>
      <c r="C37" s="117">
        <v>34</v>
      </c>
      <c r="D37" s="131" t="s">
        <v>135</v>
      </c>
      <c r="E37" s="116">
        <v>30</v>
      </c>
    </row>
    <row r="38" spans="1:5" s="112" customFormat="1" ht="27" customHeight="1" x14ac:dyDescent="0.6">
      <c r="A38" s="740" t="s">
        <v>208</v>
      </c>
      <c r="B38" s="740"/>
      <c r="C38" s="161">
        <v>12</v>
      </c>
      <c r="D38" s="165" t="s">
        <v>231</v>
      </c>
      <c r="E38" s="162">
        <f>E42</f>
        <v>50</v>
      </c>
    </row>
    <row r="39" spans="1:5" s="112" customFormat="1" ht="46.9" customHeight="1" x14ac:dyDescent="0.6">
      <c r="A39" s="741" t="s">
        <v>226</v>
      </c>
      <c r="B39" s="118" t="s">
        <v>203</v>
      </c>
      <c r="C39" s="117">
        <v>35</v>
      </c>
      <c r="D39" s="131" t="s">
        <v>136</v>
      </c>
      <c r="E39" s="116">
        <v>10</v>
      </c>
    </row>
    <row r="40" spans="1:5" s="112" customFormat="1" ht="46.9" customHeight="1" x14ac:dyDescent="0.6">
      <c r="A40" s="742"/>
      <c r="B40" s="118" t="s">
        <v>203</v>
      </c>
      <c r="C40" s="117">
        <v>36</v>
      </c>
      <c r="D40" s="131" t="s">
        <v>137</v>
      </c>
      <c r="E40" s="116">
        <v>20</v>
      </c>
    </row>
    <row r="41" spans="1:5" s="112" customFormat="1" ht="46.9" customHeight="1" x14ac:dyDescent="0.6">
      <c r="A41" s="742"/>
      <c r="B41" s="118" t="s">
        <v>203</v>
      </c>
      <c r="C41" s="117">
        <v>37</v>
      </c>
      <c r="D41" s="131" t="s">
        <v>143</v>
      </c>
      <c r="E41" s="116">
        <v>30</v>
      </c>
    </row>
    <row r="42" spans="1:5" s="112" customFormat="1" ht="46.9" customHeight="1" x14ac:dyDescent="0.6">
      <c r="A42" s="160"/>
      <c r="B42" s="118" t="s">
        <v>203</v>
      </c>
      <c r="C42" s="117">
        <v>38</v>
      </c>
      <c r="D42" s="134" t="s">
        <v>138</v>
      </c>
      <c r="E42" s="116">
        <v>50</v>
      </c>
    </row>
    <row r="43" spans="1:5" s="112" customFormat="1" ht="34.15" customHeight="1" x14ac:dyDescent="0.6">
      <c r="A43" s="740" t="s">
        <v>208</v>
      </c>
      <c r="B43" s="740"/>
      <c r="C43" s="161">
        <v>13</v>
      </c>
      <c r="D43" s="163" t="s">
        <v>224</v>
      </c>
      <c r="E43" s="162">
        <f>E48</f>
        <v>50</v>
      </c>
    </row>
    <row r="44" spans="1:5" s="112" customFormat="1" ht="53.5" customHeight="1" x14ac:dyDescent="0.6">
      <c r="A44" s="741" t="s">
        <v>226</v>
      </c>
      <c r="B44" s="118" t="s">
        <v>203</v>
      </c>
      <c r="C44" s="117">
        <v>39</v>
      </c>
      <c r="D44" s="131" t="s">
        <v>188</v>
      </c>
      <c r="E44" s="116">
        <v>10</v>
      </c>
    </row>
    <row r="45" spans="1:5" s="112" customFormat="1" ht="38.5" customHeight="1" x14ac:dyDescent="0.6">
      <c r="A45" s="742"/>
      <c r="B45" s="118" t="s">
        <v>203</v>
      </c>
      <c r="C45" s="117">
        <v>40</v>
      </c>
      <c r="D45" s="131" t="s">
        <v>140</v>
      </c>
      <c r="E45" s="116">
        <v>20</v>
      </c>
    </row>
    <row r="46" spans="1:5" s="112" customFormat="1" ht="53.5" customHeight="1" x14ac:dyDescent="0.6">
      <c r="A46" s="742"/>
      <c r="B46" s="118" t="s">
        <v>203</v>
      </c>
      <c r="C46" s="117">
        <v>41</v>
      </c>
      <c r="D46" s="131" t="s">
        <v>141</v>
      </c>
      <c r="E46" s="116">
        <v>30</v>
      </c>
    </row>
    <row r="47" spans="1:5" s="112" customFormat="1" ht="53.5" customHeight="1" x14ac:dyDescent="0.6">
      <c r="A47" s="742"/>
      <c r="B47" s="118" t="s">
        <v>203</v>
      </c>
      <c r="C47" s="117">
        <v>42</v>
      </c>
      <c r="D47" s="131" t="s">
        <v>142</v>
      </c>
      <c r="E47" s="116">
        <v>40</v>
      </c>
    </row>
    <row r="48" spans="1:5" s="112" customFormat="1" ht="68.5" customHeight="1" x14ac:dyDescent="0.6">
      <c r="A48" s="746"/>
      <c r="B48" s="118" t="s">
        <v>203</v>
      </c>
      <c r="C48" s="117">
        <v>43</v>
      </c>
      <c r="D48" s="134" t="s">
        <v>139</v>
      </c>
      <c r="E48" s="116">
        <v>50</v>
      </c>
    </row>
    <row r="49" spans="1:5" s="112" customFormat="1" ht="36.6" customHeight="1" x14ac:dyDescent="0.6">
      <c r="A49" s="740" t="s">
        <v>208</v>
      </c>
      <c r="B49" s="740"/>
      <c r="C49" s="161">
        <v>14</v>
      </c>
      <c r="D49" s="163" t="s">
        <v>223</v>
      </c>
      <c r="E49" s="162">
        <f>E53</f>
        <v>50</v>
      </c>
    </row>
    <row r="50" spans="1:5" s="112" customFormat="1" ht="38.5" customHeight="1" x14ac:dyDescent="0.6">
      <c r="A50" s="741" t="s">
        <v>226</v>
      </c>
      <c r="B50" s="118" t="s">
        <v>203</v>
      </c>
      <c r="C50" s="117">
        <v>44</v>
      </c>
      <c r="D50" s="131" t="s">
        <v>222</v>
      </c>
      <c r="E50" s="116">
        <v>10</v>
      </c>
    </row>
    <row r="51" spans="1:5" s="112" customFormat="1" ht="38.5" customHeight="1" x14ac:dyDescent="0.6">
      <c r="A51" s="742"/>
      <c r="B51" s="118" t="s">
        <v>203</v>
      </c>
      <c r="C51" s="117">
        <v>45</v>
      </c>
      <c r="D51" s="131" t="s">
        <v>144</v>
      </c>
      <c r="E51" s="116">
        <v>20</v>
      </c>
    </row>
    <row r="52" spans="1:5" s="112" customFormat="1" ht="38.5" customHeight="1" x14ac:dyDescent="0.6">
      <c r="A52" s="742"/>
      <c r="B52" s="118" t="s">
        <v>203</v>
      </c>
      <c r="C52" s="117">
        <v>46</v>
      </c>
      <c r="D52" s="131" t="s">
        <v>145</v>
      </c>
      <c r="E52" s="116">
        <v>30</v>
      </c>
    </row>
    <row r="53" spans="1:5" s="112" customFormat="1" ht="38.5" customHeight="1" x14ac:dyDescent="0.6">
      <c r="A53" s="746"/>
      <c r="B53" s="118" t="s">
        <v>203</v>
      </c>
      <c r="C53" s="117">
        <v>47</v>
      </c>
      <c r="D53" s="131" t="s">
        <v>146</v>
      </c>
      <c r="E53" s="116">
        <v>50</v>
      </c>
    </row>
    <row r="54" spans="1:5" s="112" customFormat="1" ht="36.6" customHeight="1" x14ac:dyDescent="0.6">
      <c r="A54" s="740" t="s">
        <v>208</v>
      </c>
      <c r="B54" s="740"/>
      <c r="C54" s="161">
        <v>15</v>
      </c>
      <c r="D54" s="163" t="s">
        <v>225</v>
      </c>
      <c r="E54" s="162">
        <f>E55+E56+E57+E58</f>
        <v>40</v>
      </c>
    </row>
    <row r="55" spans="1:5" ht="53.5" customHeight="1" x14ac:dyDescent="0.6">
      <c r="A55" s="743"/>
      <c r="B55" s="118" t="s">
        <v>203</v>
      </c>
      <c r="C55" s="117">
        <v>48</v>
      </c>
      <c r="D55" s="135" t="s">
        <v>148</v>
      </c>
      <c r="E55" s="120">
        <v>10</v>
      </c>
    </row>
    <row r="56" spans="1:5" ht="66" customHeight="1" x14ac:dyDescent="0.6">
      <c r="A56" s="744"/>
      <c r="B56" s="118" t="s">
        <v>203</v>
      </c>
      <c r="C56" s="117">
        <v>49</v>
      </c>
      <c r="D56" s="140" t="s">
        <v>149</v>
      </c>
      <c r="E56" s="120">
        <v>10</v>
      </c>
    </row>
    <row r="57" spans="1:5" ht="33" customHeight="1" x14ac:dyDescent="0.6">
      <c r="A57" s="745"/>
      <c r="B57" s="118" t="s">
        <v>203</v>
      </c>
      <c r="C57" s="117">
        <v>50</v>
      </c>
      <c r="D57" s="135" t="s">
        <v>150</v>
      </c>
      <c r="E57" s="120">
        <v>10</v>
      </c>
    </row>
    <row r="58" spans="1:5" ht="72.599999999999994" customHeight="1" x14ac:dyDescent="0.6">
      <c r="A58" s="160"/>
      <c r="B58" s="118" t="s">
        <v>203</v>
      </c>
      <c r="C58" s="117">
        <v>51</v>
      </c>
      <c r="D58" s="135" t="s">
        <v>151</v>
      </c>
      <c r="E58" s="120">
        <v>10</v>
      </c>
    </row>
  </sheetData>
  <mergeCells count="28">
    <mergeCell ref="A26:B26"/>
    <mergeCell ref="A17:A19"/>
    <mergeCell ref="A20:A21"/>
    <mergeCell ref="A8:B8"/>
    <mergeCell ref="A9:A11"/>
    <mergeCell ref="A12:B12"/>
    <mergeCell ref="A16:B16"/>
    <mergeCell ref="A13:A15"/>
    <mergeCell ref="A1:B1"/>
    <mergeCell ref="A2:B2"/>
    <mergeCell ref="A4:E4"/>
    <mergeCell ref="A22:B22"/>
    <mergeCell ref="A23:A25"/>
    <mergeCell ref="A6:A7"/>
    <mergeCell ref="B6:D7"/>
    <mergeCell ref="A54:B54"/>
    <mergeCell ref="A27:A29"/>
    <mergeCell ref="A55:A57"/>
    <mergeCell ref="A50:A53"/>
    <mergeCell ref="A30:B30"/>
    <mergeCell ref="A34:B34"/>
    <mergeCell ref="A38:B38"/>
    <mergeCell ref="A43:B43"/>
    <mergeCell ref="A49:B49"/>
    <mergeCell ref="A31:A33"/>
    <mergeCell ref="A35:A37"/>
    <mergeCell ref="A39:A41"/>
    <mergeCell ref="A44:A48"/>
  </mergeCells>
  <pageMargins left="0.25" right="0.25"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F24"/>
  <sheetViews>
    <sheetView view="pageLayout" topLeftCell="A21" zoomScaleNormal="120" workbookViewId="0">
      <selection activeCell="A6" sqref="A6:E24"/>
    </sheetView>
  </sheetViews>
  <sheetFormatPr defaultColWidth="8.68359375" defaultRowHeight="15.6" x14ac:dyDescent="0.6"/>
  <cols>
    <col min="1" max="1" width="6.68359375" style="104" customWidth="1"/>
    <col min="2" max="2" width="10.68359375" style="103" customWidth="1"/>
    <col min="3" max="3" width="5.578125" style="103" customWidth="1"/>
    <col min="4" max="4" width="66.68359375" style="104" customWidth="1"/>
    <col min="5" max="5" width="11.41796875" style="105" customWidth="1"/>
    <col min="6" max="6" width="9.26171875" style="103" customWidth="1"/>
    <col min="7" max="16384" width="8.68359375" style="106"/>
  </cols>
  <sheetData>
    <row r="1" spans="1:6" ht="15.9" hidden="1" thickBot="1" x14ac:dyDescent="0.65">
      <c r="A1" s="752" t="s">
        <v>53</v>
      </c>
      <c r="B1" s="752"/>
    </row>
    <row r="2" spans="1:6" ht="15.9" hidden="1" thickBot="1" x14ac:dyDescent="0.65">
      <c r="A2" s="752" t="s">
        <v>52</v>
      </c>
      <c r="B2" s="752"/>
    </row>
    <row r="3" spans="1:6" ht="15.9" hidden="1" thickBot="1" x14ac:dyDescent="0.65"/>
    <row r="4" spans="1:6" ht="34.5" hidden="1" customHeight="1" x14ac:dyDescent="0.6">
      <c r="A4" s="753" t="s">
        <v>54</v>
      </c>
      <c r="B4" s="753"/>
      <c r="C4" s="753"/>
      <c r="D4" s="753"/>
      <c r="E4" s="753"/>
    </row>
    <row r="5" spans="1:6" ht="19.5" hidden="1" customHeight="1" x14ac:dyDescent="0.6">
      <c r="A5" s="107"/>
      <c r="B5" s="108"/>
      <c r="C5" s="108"/>
      <c r="D5" s="107"/>
      <c r="E5" s="109"/>
    </row>
    <row r="6" spans="1:6" s="89" customFormat="1" ht="45" customHeight="1" x14ac:dyDescent="0.55000000000000004">
      <c r="A6" s="760" t="s">
        <v>232</v>
      </c>
      <c r="B6" s="754" t="s">
        <v>233</v>
      </c>
      <c r="C6" s="755"/>
      <c r="D6" s="755"/>
      <c r="E6" s="178" t="s">
        <v>61</v>
      </c>
      <c r="F6" s="98" t="s">
        <v>147</v>
      </c>
    </row>
    <row r="7" spans="1:6" s="87" customFormat="1" ht="22.9" customHeight="1" x14ac:dyDescent="0.55000000000000004">
      <c r="A7" s="761"/>
      <c r="B7" s="756"/>
      <c r="C7" s="756"/>
      <c r="D7" s="756"/>
      <c r="E7" s="169">
        <f>E8+E15+E21</f>
        <v>120</v>
      </c>
      <c r="F7" s="86">
        <f>SUM(F8:F15)</f>
        <v>0</v>
      </c>
    </row>
    <row r="8" spans="1:6" s="72" customFormat="1" ht="24" customHeight="1" x14ac:dyDescent="0.55000000000000004">
      <c r="A8" s="762" t="s">
        <v>208</v>
      </c>
      <c r="B8" s="763"/>
      <c r="C8" s="170">
        <v>16</v>
      </c>
      <c r="D8" s="170" t="s">
        <v>184</v>
      </c>
      <c r="E8" s="172">
        <f>SUM(E9:E14)</f>
        <v>50</v>
      </c>
      <c r="F8" s="97"/>
    </row>
    <row r="9" spans="1:6" s="112" customFormat="1" ht="59.5" customHeight="1" x14ac:dyDescent="0.6">
      <c r="A9" s="757"/>
      <c r="B9" s="118" t="s">
        <v>203</v>
      </c>
      <c r="C9" s="117">
        <v>52</v>
      </c>
      <c r="D9" s="115" t="s">
        <v>234</v>
      </c>
      <c r="E9" s="119">
        <v>10</v>
      </c>
      <c r="F9" s="759"/>
    </row>
    <row r="10" spans="1:6" s="112" customFormat="1" ht="40.9" customHeight="1" x14ac:dyDescent="0.6">
      <c r="A10" s="758"/>
      <c r="B10" s="118" t="s">
        <v>203</v>
      </c>
      <c r="C10" s="117">
        <v>53</v>
      </c>
      <c r="D10" s="115" t="s">
        <v>154</v>
      </c>
      <c r="E10" s="119">
        <v>10</v>
      </c>
      <c r="F10" s="759"/>
    </row>
    <row r="11" spans="1:6" s="112" customFormat="1" ht="45" customHeight="1" x14ac:dyDescent="0.6">
      <c r="A11" s="758"/>
      <c r="B11" s="118" t="s">
        <v>203</v>
      </c>
      <c r="C11" s="117">
        <v>54</v>
      </c>
      <c r="D11" s="115" t="s">
        <v>153</v>
      </c>
      <c r="E11" s="119">
        <v>10</v>
      </c>
      <c r="F11" s="759"/>
    </row>
    <row r="12" spans="1:6" s="112" customFormat="1" ht="71.5" customHeight="1" x14ac:dyDescent="0.6">
      <c r="A12" s="758"/>
      <c r="B12" s="118" t="s">
        <v>203</v>
      </c>
      <c r="C12" s="117">
        <v>55</v>
      </c>
      <c r="D12" s="115" t="s">
        <v>157</v>
      </c>
      <c r="E12" s="119">
        <v>10</v>
      </c>
      <c r="F12" s="759"/>
    </row>
    <row r="13" spans="1:6" s="112" customFormat="1" ht="39" customHeight="1" x14ac:dyDescent="0.6">
      <c r="A13" s="758"/>
      <c r="B13" s="118" t="s">
        <v>203</v>
      </c>
      <c r="C13" s="117">
        <v>56</v>
      </c>
      <c r="D13" s="115" t="s">
        <v>158</v>
      </c>
      <c r="E13" s="119">
        <v>5</v>
      </c>
      <c r="F13" s="759"/>
    </row>
    <row r="14" spans="1:6" s="112" customFormat="1" ht="32.5" customHeight="1" x14ac:dyDescent="0.6">
      <c r="A14" s="764"/>
      <c r="B14" s="118" t="s">
        <v>203</v>
      </c>
      <c r="C14" s="117">
        <v>57</v>
      </c>
      <c r="D14" s="115" t="s">
        <v>155</v>
      </c>
      <c r="E14" s="119">
        <v>5</v>
      </c>
      <c r="F14" s="173"/>
    </row>
    <row r="15" spans="1:6" s="72" customFormat="1" ht="29.25" customHeight="1" x14ac:dyDescent="0.55000000000000004">
      <c r="A15" s="762" t="s">
        <v>208</v>
      </c>
      <c r="B15" s="763"/>
      <c r="C15" s="170">
        <v>17</v>
      </c>
      <c r="D15" s="170" t="s">
        <v>152</v>
      </c>
      <c r="E15" s="171">
        <f>E16+E17+E20</f>
        <v>40</v>
      </c>
      <c r="F15" s="97"/>
    </row>
    <row r="16" spans="1:6" s="112" customFormat="1" ht="41.5" customHeight="1" x14ac:dyDescent="0.6">
      <c r="A16" s="757"/>
      <c r="B16" s="118" t="s">
        <v>203</v>
      </c>
      <c r="C16" s="117">
        <v>58</v>
      </c>
      <c r="D16" s="115" t="s">
        <v>156</v>
      </c>
      <c r="E16" s="119">
        <v>10</v>
      </c>
      <c r="F16" s="759"/>
    </row>
    <row r="17" spans="1:6" s="112" customFormat="1" ht="41.5" customHeight="1" x14ac:dyDescent="0.6">
      <c r="A17" s="758"/>
      <c r="B17" s="118" t="s">
        <v>203</v>
      </c>
      <c r="C17" s="117">
        <v>59</v>
      </c>
      <c r="D17" s="115" t="s">
        <v>159</v>
      </c>
      <c r="E17" s="119">
        <v>10</v>
      </c>
      <c r="F17" s="759"/>
    </row>
    <row r="18" spans="1:6" s="112" customFormat="1" ht="29.5" customHeight="1" x14ac:dyDescent="0.6">
      <c r="A18" s="758"/>
      <c r="B18" s="118" t="s">
        <v>203</v>
      </c>
      <c r="C18" s="117">
        <v>60</v>
      </c>
      <c r="D18" s="115" t="s">
        <v>160</v>
      </c>
      <c r="E18" s="119">
        <v>10</v>
      </c>
      <c r="F18" s="759"/>
    </row>
    <row r="19" spans="1:6" s="112" customFormat="1" ht="49.9" customHeight="1" x14ac:dyDescent="0.6">
      <c r="A19" s="758"/>
      <c r="B19" s="118" t="s">
        <v>203</v>
      </c>
      <c r="C19" s="117">
        <v>61</v>
      </c>
      <c r="D19" s="115" t="s">
        <v>236</v>
      </c>
      <c r="E19" s="119">
        <v>15</v>
      </c>
      <c r="F19" s="759"/>
    </row>
    <row r="20" spans="1:6" s="112" customFormat="1" ht="41.5" customHeight="1" x14ac:dyDescent="0.6">
      <c r="A20" s="764"/>
      <c r="B20" s="118" t="s">
        <v>203</v>
      </c>
      <c r="C20" s="117">
        <v>62</v>
      </c>
      <c r="D20" s="115" t="s">
        <v>161</v>
      </c>
      <c r="E20" s="119">
        <v>20</v>
      </c>
      <c r="F20" s="759"/>
    </row>
    <row r="21" spans="1:6" s="114" customFormat="1" ht="33" customHeight="1" x14ac:dyDescent="0.65">
      <c r="A21" s="762" t="s">
        <v>208</v>
      </c>
      <c r="B21" s="763"/>
      <c r="C21" s="170">
        <v>18</v>
      </c>
      <c r="D21" s="170" t="s">
        <v>235</v>
      </c>
      <c r="E21" s="171">
        <f>E22+E23+E24</f>
        <v>30</v>
      </c>
      <c r="F21" s="759"/>
    </row>
    <row r="22" spans="1:6" s="112" customFormat="1" ht="29.5" customHeight="1" x14ac:dyDescent="0.6">
      <c r="A22" s="757"/>
      <c r="B22" s="118" t="s">
        <v>203</v>
      </c>
      <c r="C22" s="117">
        <v>63</v>
      </c>
      <c r="D22" s="115" t="s">
        <v>162</v>
      </c>
      <c r="E22" s="119">
        <v>10</v>
      </c>
      <c r="F22" s="759"/>
    </row>
    <row r="23" spans="1:6" s="112" customFormat="1" ht="28.15" customHeight="1" x14ac:dyDescent="0.6">
      <c r="A23" s="758"/>
      <c r="B23" s="118" t="s">
        <v>203</v>
      </c>
      <c r="C23" s="117">
        <v>64</v>
      </c>
      <c r="D23" s="115" t="s">
        <v>163</v>
      </c>
      <c r="E23" s="119">
        <v>10</v>
      </c>
      <c r="F23" s="759"/>
    </row>
    <row r="24" spans="1:6" s="112" customFormat="1" ht="41.5" customHeight="1" x14ac:dyDescent="0.6">
      <c r="A24" s="758"/>
      <c r="B24" s="118" t="s">
        <v>203</v>
      </c>
      <c r="C24" s="117">
        <v>65</v>
      </c>
      <c r="D24" s="115" t="s">
        <v>164</v>
      </c>
      <c r="E24" s="119">
        <v>10</v>
      </c>
      <c r="F24" s="759"/>
    </row>
  </sheetData>
  <mergeCells count="13">
    <mergeCell ref="F9:F13"/>
    <mergeCell ref="F16:F24"/>
    <mergeCell ref="A6:A7"/>
    <mergeCell ref="A8:B8"/>
    <mergeCell ref="A15:B15"/>
    <mergeCell ref="A21:B21"/>
    <mergeCell ref="A9:A14"/>
    <mergeCell ref="A16:A20"/>
    <mergeCell ref="A1:B1"/>
    <mergeCell ref="A2:B2"/>
    <mergeCell ref="A4:E4"/>
    <mergeCell ref="B6:D7"/>
    <mergeCell ref="A22:A24"/>
  </mergeCells>
  <pageMargins left="0.25" right="0.25"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F23"/>
  <sheetViews>
    <sheetView view="pageLayout" topLeftCell="A6" zoomScaleNormal="120" workbookViewId="0">
      <selection activeCell="A6" sqref="A6:E23"/>
    </sheetView>
  </sheetViews>
  <sheetFormatPr defaultColWidth="8.68359375" defaultRowHeight="15.6" x14ac:dyDescent="0.6"/>
  <cols>
    <col min="1" max="1" width="6.83984375" style="104" customWidth="1"/>
    <col min="2" max="2" width="11.26171875" style="103" customWidth="1"/>
    <col min="3" max="3" width="5.68359375" style="103" customWidth="1"/>
    <col min="4" max="4" width="64.83984375" style="104" customWidth="1"/>
    <col min="5" max="5" width="11.83984375" style="105" customWidth="1"/>
    <col min="6" max="16384" width="8.68359375" style="106"/>
  </cols>
  <sheetData>
    <row r="1" spans="1:6" ht="15.9" hidden="1" thickBot="1" x14ac:dyDescent="0.65">
      <c r="A1" s="752" t="s">
        <v>53</v>
      </c>
      <c r="B1" s="752"/>
    </row>
    <row r="2" spans="1:6" ht="15.9" hidden="1" thickBot="1" x14ac:dyDescent="0.65">
      <c r="A2" s="752" t="s">
        <v>52</v>
      </c>
      <c r="B2" s="752"/>
    </row>
    <row r="3" spans="1:6" ht="15.9" hidden="1" thickBot="1" x14ac:dyDescent="0.65"/>
    <row r="4" spans="1:6" ht="34.5" hidden="1" customHeight="1" x14ac:dyDescent="0.6">
      <c r="A4" s="753" t="s">
        <v>54</v>
      </c>
      <c r="B4" s="753"/>
      <c r="C4" s="753"/>
      <c r="D4" s="753"/>
      <c r="E4" s="753"/>
    </row>
    <row r="5" spans="1:6" ht="19.5" hidden="1" customHeight="1" x14ac:dyDescent="0.6">
      <c r="A5" s="107"/>
      <c r="B5" s="108"/>
      <c r="C5" s="108"/>
      <c r="D5" s="107"/>
      <c r="E5" s="109"/>
    </row>
    <row r="6" spans="1:6" s="102" customFormat="1" ht="45" customHeight="1" x14ac:dyDescent="0.55000000000000004">
      <c r="A6" s="769" t="s">
        <v>238</v>
      </c>
      <c r="B6" s="767" t="s">
        <v>165</v>
      </c>
      <c r="C6" s="767"/>
      <c r="D6" s="767"/>
      <c r="E6" s="179" t="s">
        <v>61</v>
      </c>
    </row>
    <row r="7" spans="1:6" s="110" customFormat="1" ht="30.75" customHeight="1" x14ac:dyDescent="0.55000000000000004">
      <c r="A7" s="770"/>
      <c r="B7" s="768"/>
      <c r="C7" s="768"/>
      <c r="D7" s="768"/>
      <c r="E7" s="176">
        <f>E13+E18+E8</f>
        <v>100</v>
      </c>
    </row>
    <row r="8" spans="1:6" s="114" customFormat="1" ht="33" customHeight="1" x14ac:dyDescent="0.65">
      <c r="A8" s="765" t="s">
        <v>208</v>
      </c>
      <c r="B8" s="766"/>
      <c r="C8" s="174">
        <v>19</v>
      </c>
      <c r="D8" s="174" t="s">
        <v>185</v>
      </c>
      <c r="E8" s="175">
        <f>E9+E10+E11+E12</f>
        <v>30</v>
      </c>
      <c r="F8" s="110"/>
    </row>
    <row r="9" spans="1:6" s="112" customFormat="1" ht="40.9" customHeight="1" x14ac:dyDescent="0.6">
      <c r="A9" s="102"/>
      <c r="B9" s="118" t="s">
        <v>203</v>
      </c>
      <c r="C9" s="117">
        <v>66</v>
      </c>
      <c r="D9" s="115" t="s">
        <v>190</v>
      </c>
      <c r="E9" s="119">
        <v>5</v>
      </c>
    </row>
    <row r="10" spans="1:6" s="112" customFormat="1" ht="29.5" customHeight="1" x14ac:dyDescent="0.6">
      <c r="A10" s="102"/>
      <c r="B10" s="118" t="s">
        <v>203</v>
      </c>
      <c r="C10" s="117">
        <v>67</v>
      </c>
      <c r="D10" s="115" t="s">
        <v>191</v>
      </c>
      <c r="E10" s="119">
        <v>5</v>
      </c>
    </row>
    <row r="11" spans="1:6" s="112" customFormat="1" ht="29.5" customHeight="1" x14ac:dyDescent="0.6">
      <c r="A11" s="102"/>
      <c r="B11" s="118" t="s">
        <v>203</v>
      </c>
      <c r="C11" s="117">
        <v>68</v>
      </c>
      <c r="D11" s="115" t="s">
        <v>192</v>
      </c>
      <c r="E11" s="119">
        <v>10</v>
      </c>
    </row>
    <row r="12" spans="1:6" s="112" customFormat="1" ht="40.9" customHeight="1" x14ac:dyDescent="0.6">
      <c r="A12" s="102"/>
      <c r="B12" s="118" t="s">
        <v>203</v>
      </c>
      <c r="C12" s="117">
        <v>69</v>
      </c>
      <c r="D12" s="115" t="s">
        <v>189</v>
      </c>
      <c r="E12" s="119">
        <v>10</v>
      </c>
    </row>
    <row r="13" spans="1:6" s="111" customFormat="1" ht="29.25" customHeight="1" x14ac:dyDescent="0.55000000000000004">
      <c r="A13" s="765" t="s">
        <v>208</v>
      </c>
      <c r="B13" s="766"/>
      <c r="C13" s="174">
        <v>20</v>
      </c>
      <c r="D13" s="174" t="s">
        <v>237</v>
      </c>
      <c r="E13" s="175">
        <f>E14+E15+E16+E17</f>
        <v>40</v>
      </c>
    </row>
    <row r="14" spans="1:6" s="112" customFormat="1" ht="34.15" customHeight="1" x14ac:dyDescent="0.6">
      <c r="A14" s="102"/>
      <c r="B14" s="118" t="s">
        <v>203</v>
      </c>
      <c r="C14" s="117">
        <v>70</v>
      </c>
      <c r="D14" s="115" t="s">
        <v>193</v>
      </c>
      <c r="E14" s="156">
        <v>10</v>
      </c>
    </row>
    <row r="15" spans="1:6" s="112" customFormat="1" ht="34.15" customHeight="1" x14ac:dyDescent="0.6">
      <c r="A15" s="102"/>
      <c r="B15" s="118" t="s">
        <v>203</v>
      </c>
      <c r="C15" s="117">
        <v>71</v>
      </c>
      <c r="D15" s="115" t="s">
        <v>194</v>
      </c>
      <c r="E15" s="156">
        <v>10</v>
      </c>
    </row>
    <row r="16" spans="1:6" s="112" customFormat="1" ht="29.5" customHeight="1" x14ac:dyDescent="0.6">
      <c r="A16" s="102"/>
      <c r="B16" s="118" t="s">
        <v>203</v>
      </c>
      <c r="C16" s="117">
        <v>72</v>
      </c>
      <c r="D16" s="115" t="s">
        <v>195</v>
      </c>
      <c r="E16" s="156">
        <v>10</v>
      </c>
    </row>
    <row r="17" spans="1:5" s="112" customFormat="1" ht="29.5" customHeight="1" x14ac:dyDescent="0.6">
      <c r="A17" s="102"/>
      <c r="B17" s="118" t="s">
        <v>203</v>
      </c>
      <c r="C17" s="117">
        <v>73</v>
      </c>
      <c r="D17" s="115" t="s">
        <v>196</v>
      </c>
      <c r="E17" s="156">
        <v>10</v>
      </c>
    </row>
    <row r="18" spans="1:5" s="111" customFormat="1" ht="29.25" customHeight="1" x14ac:dyDescent="0.55000000000000004">
      <c r="A18" s="765" t="s">
        <v>208</v>
      </c>
      <c r="B18" s="766"/>
      <c r="C18" s="174">
        <v>21</v>
      </c>
      <c r="D18" s="174" t="s">
        <v>186</v>
      </c>
      <c r="E18" s="175">
        <f>SUM(E19:E23)</f>
        <v>30</v>
      </c>
    </row>
    <row r="19" spans="1:5" s="112" customFormat="1" ht="45.6" customHeight="1" x14ac:dyDescent="0.6">
      <c r="A19" s="102"/>
      <c r="B19" s="118" t="s">
        <v>203</v>
      </c>
      <c r="C19" s="117">
        <v>72</v>
      </c>
      <c r="D19" s="115" t="s">
        <v>197</v>
      </c>
      <c r="E19" s="119">
        <v>5</v>
      </c>
    </row>
    <row r="20" spans="1:5" s="112" customFormat="1" ht="27.6" customHeight="1" x14ac:dyDescent="0.6">
      <c r="A20" s="102"/>
      <c r="B20" s="118" t="s">
        <v>203</v>
      </c>
      <c r="C20" s="117">
        <v>73</v>
      </c>
      <c r="D20" s="115" t="s">
        <v>198</v>
      </c>
      <c r="E20" s="119">
        <v>5</v>
      </c>
    </row>
    <row r="21" spans="1:5" s="112" customFormat="1" ht="60" customHeight="1" x14ac:dyDescent="0.6">
      <c r="A21" s="102"/>
      <c r="B21" s="118" t="s">
        <v>203</v>
      </c>
      <c r="C21" s="117">
        <v>74</v>
      </c>
      <c r="D21" s="115" t="s">
        <v>199</v>
      </c>
      <c r="E21" s="119">
        <v>10</v>
      </c>
    </row>
    <row r="22" spans="1:5" s="112" customFormat="1" ht="45" customHeight="1" x14ac:dyDescent="0.6">
      <c r="A22" s="102"/>
      <c r="B22" s="118" t="s">
        <v>203</v>
      </c>
      <c r="C22" s="117">
        <v>75</v>
      </c>
      <c r="D22" s="115" t="s">
        <v>200</v>
      </c>
      <c r="E22" s="119">
        <v>5</v>
      </c>
    </row>
    <row r="23" spans="1:5" s="112" customFormat="1" ht="45" customHeight="1" x14ac:dyDescent="0.6">
      <c r="A23" s="102"/>
      <c r="B23" s="118" t="s">
        <v>203</v>
      </c>
      <c r="C23" s="117">
        <v>76</v>
      </c>
      <c r="D23" s="115" t="s">
        <v>201</v>
      </c>
      <c r="E23" s="119">
        <v>5</v>
      </c>
    </row>
  </sheetData>
  <mergeCells count="8">
    <mergeCell ref="A8:B8"/>
    <mergeCell ref="A13:B13"/>
    <mergeCell ref="A18:B18"/>
    <mergeCell ref="A1:B1"/>
    <mergeCell ref="A2:B2"/>
    <mergeCell ref="A4:E4"/>
    <mergeCell ref="B6:D7"/>
    <mergeCell ref="A6:A7"/>
  </mergeCells>
  <pageMargins left="0.25" right="0.25"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E33"/>
  <sheetViews>
    <sheetView topLeftCell="A6" zoomScale="120" zoomScaleNormal="120" workbookViewId="0">
      <selection activeCell="A21" sqref="A21:B21"/>
    </sheetView>
  </sheetViews>
  <sheetFormatPr defaultRowHeight="15.9" x14ac:dyDescent="0.55000000000000004"/>
  <cols>
    <col min="1" max="1" width="5.26171875" style="100" customWidth="1"/>
    <col min="2" max="2" width="11.26171875" style="14" customWidth="1"/>
    <col min="3" max="3" width="6" style="14" customWidth="1"/>
    <col min="4" max="4" width="67.68359375" style="14" customWidth="1"/>
    <col min="5" max="5" width="11.83984375" style="3" customWidth="1"/>
  </cols>
  <sheetData>
    <row r="1" spans="1:5" ht="16.2" hidden="1" thickBot="1" x14ac:dyDescent="0.6">
      <c r="A1" s="777" t="s">
        <v>53</v>
      </c>
      <c r="B1" s="777"/>
      <c r="C1" s="1"/>
    </row>
    <row r="2" spans="1:5" ht="16.2" hidden="1" thickBot="1" x14ac:dyDescent="0.6">
      <c r="A2" s="777" t="s">
        <v>52</v>
      </c>
      <c r="B2" s="777"/>
      <c r="C2" s="1"/>
    </row>
    <row r="3" spans="1:5" ht="16.2" hidden="1" thickBot="1" x14ac:dyDescent="0.6"/>
    <row r="4" spans="1:5" ht="34.5" hidden="1" customHeight="1" x14ac:dyDescent="0.55000000000000004">
      <c r="A4" s="776" t="s">
        <v>54</v>
      </c>
      <c r="B4" s="776"/>
      <c r="C4" s="776"/>
      <c r="D4" s="776"/>
      <c r="E4" s="776"/>
    </row>
    <row r="5" spans="1:5" ht="19.5" hidden="1" customHeight="1" x14ac:dyDescent="0.55000000000000004">
      <c r="A5" s="101"/>
      <c r="B5" s="15"/>
      <c r="C5" s="15"/>
      <c r="D5" s="15"/>
      <c r="E5" s="4"/>
    </row>
    <row r="6" spans="1:5" s="99" customFormat="1" ht="45" customHeight="1" x14ac:dyDescent="0.55000000000000004">
      <c r="A6" s="782" t="s">
        <v>120</v>
      </c>
      <c r="B6" s="778" t="s">
        <v>239</v>
      </c>
      <c r="C6" s="779"/>
      <c r="D6" s="779"/>
      <c r="E6" s="180" t="s">
        <v>61</v>
      </c>
    </row>
    <row r="7" spans="1:5" s="87" customFormat="1" ht="22.15" customHeight="1" x14ac:dyDescent="0.55000000000000004">
      <c r="A7" s="783"/>
      <c r="B7" s="780"/>
      <c r="C7" s="781"/>
      <c r="D7" s="781"/>
      <c r="E7" s="181">
        <f>E13+E17+E21+E8</f>
        <v>150</v>
      </c>
    </row>
    <row r="8" spans="1:5" s="184" customFormat="1" ht="25.9" customHeight="1" x14ac:dyDescent="0.65">
      <c r="A8" s="784" t="s">
        <v>208</v>
      </c>
      <c r="B8" s="785"/>
      <c r="C8" s="182">
        <v>22</v>
      </c>
      <c r="D8" s="182" t="s">
        <v>166</v>
      </c>
      <c r="E8" s="183">
        <f>SUM(E9:E12)</f>
        <v>40</v>
      </c>
    </row>
    <row r="9" spans="1:5" s="112" customFormat="1" ht="36.6" customHeight="1" x14ac:dyDescent="0.6">
      <c r="A9" s="185"/>
      <c r="B9" s="118" t="s">
        <v>203</v>
      </c>
      <c r="C9" s="117">
        <v>77</v>
      </c>
      <c r="D9" s="115" t="s">
        <v>175</v>
      </c>
      <c r="E9" s="119">
        <v>10</v>
      </c>
    </row>
    <row r="10" spans="1:5" s="112" customFormat="1" ht="37.15" customHeight="1" x14ac:dyDescent="0.6">
      <c r="A10" s="185"/>
      <c r="B10" s="118" t="s">
        <v>203</v>
      </c>
      <c r="C10" s="117">
        <v>78</v>
      </c>
      <c r="D10" s="115" t="s">
        <v>176</v>
      </c>
      <c r="E10" s="119">
        <v>10</v>
      </c>
    </row>
    <row r="11" spans="1:5" s="112" customFormat="1" ht="40.15" customHeight="1" x14ac:dyDescent="0.6">
      <c r="A11" s="185"/>
      <c r="B11" s="118" t="s">
        <v>203</v>
      </c>
      <c r="C11" s="117">
        <v>79</v>
      </c>
      <c r="D11" s="115" t="s">
        <v>177</v>
      </c>
      <c r="E11" s="119">
        <v>10</v>
      </c>
    </row>
    <row r="12" spans="1:5" s="112" customFormat="1" ht="36.6" customHeight="1" x14ac:dyDescent="0.6">
      <c r="A12" s="185"/>
      <c r="B12" s="118" t="s">
        <v>203</v>
      </c>
      <c r="C12" s="117">
        <v>80</v>
      </c>
      <c r="D12" s="115" t="s">
        <v>178</v>
      </c>
      <c r="E12" s="119">
        <v>10</v>
      </c>
    </row>
    <row r="13" spans="1:5" s="72" customFormat="1" ht="25.9" customHeight="1" x14ac:dyDescent="0.55000000000000004">
      <c r="A13" s="784" t="s">
        <v>208</v>
      </c>
      <c r="B13" s="785"/>
      <c r="C13" s="182">
        <v>23</v>
      </c>
      <c r="D13" s="182" t="s">
        <v>167</v>
      </c>
      <c r="E13" s="183">
        <f>E14+E15+E16</f>
        <v>30</v>
      </c>
    </row>
    <row r="14" spans="1:5" s="112" customFormat="1" ht="38.5" customHeight="1" x14ac:dyDescent="0.6">
      <c r="A14" s="185"/>
      <c r="B14" s="118" t="s">
        <v>203</v>
      </c>
      <c r="C14" s="117">
        <v>81</v>
      </c>
      <c r="D14" s="115" t="s">
        <v>172</v>
      </c>
      <c r="E14" s="119">
        <v>10</v>
      </c>
    </row>
    <row r="15" spans="1:5" s="112" customFormat="1" ht="25.9" customHeight="1" x14ac:dyDescent="0.6">
      <c r="A15" s="185"/>
      <c r="B15" s="118" t="s">
        <v>203</v>
      </c>
      <c r="C15" s="117">
        <v>82</v>
      </c>
      <c r="D15" s="115" t="s">
        <v>173</v>
      </c>
      <c r="E15" s="119">
        <v>10</v>
      </c>
    </row>
    <row r="16" spans="1:5" s="112" customFormat="1" ht="38.5" customHeight="1" x14ac:dyDescent="0.6">
      <c r="A16" s="185"/>
      <c r="B16" s="118" t="s">
        <v>203</v>
      </c>
      <c r="C16" s="117">
        <v>83</v>
      </c>
      <c r="D16" s="115" t="s">
        <v>174</v>
      </c>
      <c r="E16" s="119">
        <v>10</v>
      </c>
    </row>
    <row r="17" spans="1:5" s="72" customFormat="1" ht="27" customHeight="1" x14ac:dyDescent="0.55000000000000004">
      <c r="A17" s="784" t="s">
        <v>208</v>
      </c>
      <c r="B17" s="785"/>
      <c r="C17" s="182">
        <v>24</v>
      </c>
      <c r="D17" s="182" t="s">
        <v>168</v>
      </c>
      <c r="E17" s="183">
        <f>E18+E19+E20</f>
        <v>30</v>
      </c>
    </row>
    <row r="18" spans="1:5" s="112" customFormat="1" ht="30.6" customHeight="1" x14ac:dyDescent="0.6">
      <c r="A18" s="773"/>
      <c r="B18" s="118" t="s">
        <v>203</v>
      </c>
      <c r="C18" s="117">
        <v>84</v>
      </c>
      <c r="D18" s="115" t="s">
        <v>169</v>
      </c>
      <c r="E18" s="119">
        <v>10</v>
      </c>
    </row>
    <row r="19" spans="1:5" s="112" customFormat="1" ht="37.15" customHeight="1" x14ac:dyDescent="0.6">
      <c r="A19" s="774"/>
      <c r="B19" s="118" t="s">
        <v>203</v>
      </c>
      <c r="C19" s="117">
        <v>85</v>
      </c>
      <c r="D19" s="113" t="s">
        <v>170</v>
      </c>
      <c r="E19" s="186">
        <v>10</v>
      </c>
    </row>
    <row r="20" spans="1:5" s="112" customFormat="1" ht="37.15" customHeight="1" x14ac:dyDescent="0.6">
      <c r="A20" s="774"/>
      <c r="B20" s="118" t="s">
        <v>203</v>
      </c>
      <c r="C20" s="117">
        <v>86</v>
      </c>
      <c r="D20" s="113" t="s">
        <v>171</v>
      </c>
      <c r="E20" s="186">
        <v>10</v>
      </c>
    </row>
    <row r="21" spans="1:5" s="72" customFormat="1" ht="26.5" customHeight="1" x14ac:dyDescent="0.55000000000000004">
      <c r="A21" s="786" t="s">
        <v>208</v>
      </c>
      <c r="B21" s="787"/>
      <c r="C21" s="182">
        <v>25</v>
      </c>
      <c r="D21" s="182" t="s">
        <v>179</v>
      </c>
      <c r="E21" s="183">
        <f>E32</f>
        <v>50</v>
      </c>
    </row>
    <row r="22" spans="1:5" s="72" customFormat="1" ht="19.899999999999999" customHeight="1" x14ac:dyDescent="0.55000000000000004">
      <c r="A22" s="100"/>
      <c r="B22" s="775" t="s">
        <v>180</v>
      </c>
      <c r="C22" s="775"/>
      <c r="D22" s="775"/>
      <c r="E22" s="187"/>
    </row>
    <row r="23" spans="1:5" ht="22.9" customHeight="1" x14ac:dyDescent="0.55000000000000004">
      <c r="B23" s="118" t="s">
        <v>203</v>
      </c>
      <c r="C23" s="117">
        <v>87</v>
      </c>
      <c r="D23" s="96" t="s">
        <v>58</v>
      </c>
      <c r="E23" s="42">
        <v>25</v>
      </c>
    </row>
    <row r="24" spans="1:5" ht="22.9" customHeight="1" x14ac:dyDescent="0.55000000000000004">
      <c r="B24" s="118" t="s">
        <v>203</v>
      </c>
      <c r="C24" s="117">
        <v>88</v>
      </c>
      <c r="D24" s="71" t="s">
        <v>59</v>
      </c>
      <c r="E24" s="43">
        <v>10</v>
      </c>
    </row>
    <row r="25" spans="1:5" s="72" customFormat="1" ht="19.899999999999999" customHeight="1" x14ac:dyDescent="0.55000000000000004">
      <c r="A25" s="100"/>
      <c r="B25" s="772" t="s">
        <v>181</v>
      </c>
      <c r="C25" s="772"/>
      <c r="D25" s="772"/>
      <c r="E25" s="187"/>
    </row>
    <row r="26" spans="1:5" ht="22.9" customHeight="1" x14ac:dyDescent="0.55000000000000004">
      <c r="B26" s="118" t="s">
        <v>203</v>
      </c>
      <c r="C26" s="117">
        <v>89</v>
      </c>
      <c r="D26" s="96" t="s">
        <v>58</v>
      </c>
      <c r="E26" s="17">
        <v>35</v>
      </c>
    </row>
    <row r="27" spans="1:5" ht="22.9" customHeight="1" x14ac:dyDescent="0.55000000000000004">
      <c r="B27" s="118" t="s">
        <v>203</v>
      </c>
      <c r="C27" s="117">
        <v>90</v>
      </c>
      <c r="D27" s="71" t="s">
        <v>83</v>
      </c>
      <c r="E27" s="18">
        <v>15</v>
      </c>
    </row>
    <row r="28" spans="1:5" s="72" customFormat="1" ht="19.899999999999999" customHeight="1" x14ac:dyDescent="0.55000000000000004">
      <c r="A28" s="100"/>
      <c r="B28" s="771" t="s">
        <v>182</v>
      </c>
      <c r="C28" s="772"/>
      <c r="D28" s="772"/>
      <c r="E28" s="187"/>
    </row>
    <row r="29" spans="1:5" ht="22.9" customHeight="1" x14ac:dyDescent="0.55000000000000004">
      <c r="B29" s="118" t="s">
        <v>203</v>
      </c>
      <c r="C29" s="117">
        <v>91</v>
      </c>
      <c r="D29" s="96" t="s">
        <v>58</v>
      </c>
      <c r="E29" s="17">
        <v>45</v>
      </c>
    </row>
    <row r="30" spans="1:5" ht="22.9" customHeight="1" x14ac:dyDescent="0.55000000000000004">
      <c r="B30" s="118" t="s">
        <v>203</v>
      </c>
      <c r="C30" s="117">
        <v>92</v>
      </c>
      <c r="D30" s="71" t="s">
        <v>83</v>
      </c>
      <c r="E30" s="18">
        <v>20</v>
      </c>
    </row>
    <row r="31" spans="1:5" s="72" customFormat="1" ht="19.899999999999999" customHeight="1" x14ac:dyDescent="0.55000000000000004">
      <c r="A31" s="100"/>
      <c r="B31" s="771" t="s">
        <v>183</v>
      </c>
      <c r="C31" s="772"/>
      <c r="D31" s="772"/>
      <c r="E31" s="187"/>
    </row>
    <row r="32" spans="1:5" ht="22.9" customHeight="1" x14ac:dyDescent="0.55000000000000004">
      <c r="B32" s="118" t="s">
        <v>203</v>
      </c>
      <c r="C32" s="117">
        <v>93</v>
      </c>
      <c r="D32" s="96" t="s">
        <v>58</v>
      </c>
      <c r="E32" s="41">
        <v>50</v>
      </c>
    </row>
    <row r="33" spans="2:5" ht="22.9" customHeight="1" x14ac:dyDescent="0.55000000000000004">
      <c r="B33" s="118" t="s">
        <v>203</v>
      </c>
      <c r="C33" s="117">
        <v>94</v>
      </c>
      <c r="D33" s="71" t="s">
        <v>83</v>
      </c>
      <c r="E33" s="18">
        <v>25</v>
      </c>
    </row>
  </sheetData>
  <mergeCells count="14">
    <mergeCell ref="A1:B1"/>
    <mergeCell ref="A2:B2"/>
    <mergeCell ref="B25:D25"/>
    <mergeCell ref="B6:D7"/>
    <mergeCell ref="A6:A7"/>
    <mergeCell ref="A8:B8"/>
    <mergeCell ref="A13:B13"/>
    <mergeCell ref="A17:B17"/>
    <mergeCell ref="A21:B21"/>
    <mergeCell ref="B28:D28"/>
    <mergeCell ref="B31:D31"/>
    <mergeCell ref="A18:A20"/>
    <mergeCell ref="B22:D22"/>
    <mergeCell ref="A4:E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39997558519241921"/>
  </sheetPr>
  <dimension ref="A1:G50"/>
  <sheetViews>
    <sheetView topLeftCell="A6" workbookViewId="0">
      <selection activeCell="E7" sqref="E7"/>
    </sheetView>
  </sheetViews>
  <sheetFormatPr defaultRowHeight="16.2" x14ac:dyDescent="0.55000000000000004"/>
  <cols>
    <col min="1" max="1" width="6.26171875" style="1" customWidth="1"/>
    <col min="2" max="2" width="26.15625" style="6" customWidth="1"/>
    <col min="3" max="3" width="10.26171875" style="1" customWidth="1"/>
    <col min="4" max="4" width="66.578125" style="1" customWidth="1"/>
    <col min="5" max="5" width="11.26171875" style="3" customWidth="1"/>
    <col min="6" max="6" width="42.83984375" style="36" customWidth="1"/>
    <col min="7" max="7" width="9.26171875" style="1" customWidth="1"/>
  </cols>
  <sheetData>
    <row r="1" spans="1:7" ht="16.899999999999999" hidden="1" customHeight="1" x14ac:dyDescent="0.55000000000000004">
      <c r="A1" s="1" t="s">
        <v>53</v>
      </c>
      <c r="B1" s="1"/>
      <c r="D1" s="2"/>
    </row>
    <row r="2" spans="1:7" ht="16.899999999999999" hidden="1" customHeight="1" x14ac:dyDescent="0.55000000000000004">
      <c r="A2" s="1" t="s">
        <v>52</v>
      </c>
      <c r="B2" s="1"/>
    </row>
    <row r="3" spans="1:7" ht="16.899999999999999" hidden="1" customHeight="1" x14ac:dyDescent="0.55000000000000004"/>
    <row r="4" spans="1:7" ht="34.5" hidden="1" customHeight="1" x14ac:dyDescent="0.55000000000000004">
      <c r="A4" s="16" t="s">
        <v>54</v>
      </c>
      <c r="B4" s="16"/>
      <c r="C4" s="16"/>
      <c r="D4" s="16"/>
      <c r="E4" s="16"/>
      <c r="F4" s="37"/>
    </row>
    <row r="5" spans="1:7" ht="19.5" hidden="1" customHeight="1" x14ac:dyDescent="0.55000000000000004">
      <c r="A5" s="16"/>
      <c r="B5" s="7"/>
      <c r="C5" s="16"/>
      <c r="D5" s="16"/>
      <c r="E5" s="4"/>
    </row>
    <row r="6" spans="1:7" s="19" customFormat="1" ht="32.5" customHeight="1" x14ac:dyDescent="0.65">
      <c r="A6" s="20">
        <v>4</v>
      </c>
      <c r="B6" s="13" t="s">
        <v>56</v>
      </c>
      <c r="C6" s="21" t="s">
        <v>55</v>
      </c>
      <c r="D6" s="22" t="s">
        <v>0</v>
      </c>
      <c r="E6" s="12" t="s">
        <v>61</v>
      </c>
      <c r="F6" s="38" t="s">
        <v>1</v>
      </c>
      <c r="G6" s="5"/>
    </row>
    <row r="7" spans="1:7" s="28" customFormat="1" ht="22.8" x14ac:dyDescent="0.55000000000000004">
      <c r="A7" s="30" t="s">
        <v>67</v>
      </c>
      <c r="B7" s="29" t="s">
        <v>90</v>
      </c>
      <c r="C7" s="65" t="e">
        <f>#REF!</f>
        <v>#REF!</v>
      </c>
      <c r="D7" s="23" t="e">
        <f>#REF!+#REF!</f>
        <v>#REF!</v>
      </c>
      <c r="E7" s="35" t="e">
        <f>#REF!</f>
        <v>#REF!</v>
      </c>
      <c r="F7" s="39"/>
      <c r="G7" s="27"/>
    </row>
    <row r="8" spans="1:7" s="9" customFormat="1" ht="28.5" customHeight="1" x14ac:dyDescent="0.55000000000000004">
      <c r="A8" s="792">
        <v>1</v>
      </c>
      <c r="B8" s="64" t="s">
        <v>6</v>
      </c>
      <c r="C8" s="801" t="s">
        <v>7</v>
      </c>
      <c r="D8" s="802"/>
      <c r="E8" s="803"/>
      <c r="F8" s="70"/>
      <c r="G8" s="8"/>
    </row>
    <row r="9" spans="1:7" s="9" customFormat="1" ht="28.5" customHeight="1" x14ac:dyDescent="0.55000000000000004">
      <c r="A9" s="792"/>
      <c r="B9" s="57"/>
      <c r="C9" s="66"/>
      <c r="D9" s="68" t="s">
        <v>91</v>
      </c>
      <c r="E9" s="67">
        <v>1</v>
      </c>
      <c r="F9" s="788"/>
      <c r="G9" s="8"/>
    </row>
    <row r="10" spans="1:7" s="9" customFormat="1" ht="39" customHeight="1" x14ac:dyDescent="0.55000000000000004">
      <c r="A10" s="792"/>
      <c r="B10" s="57"/>
      <c r="C10" s="62"/>
      <c r="D10" s="68" t="s">
        <v>69</v>
      </c>
      <c r="E10" s="24">
        <v>5</v>
      </c>
      <c r="F10" s="789"/>
      <c r="G10" s="8"/>
    </row>
    <row r="11" spans="1:7" s="9" customFormat="1" ht="41.5" customHeight="1" x14ac:dyDescent="0.55000000000000004">
      <c r="A11" s="792"/>
      <c r="B11" s="57"/>
      <c r="C11" s="62"/>
      <c r="D11" s="68" t="s">
        <v>95</v>
      </c>
      <c r="E11" s="24">
        <v>10</v>
      </c>
      <c r="F11" s="789"/>
      <c r="G11" s="8"/>
    </row>
    <row r="12" spans="1:7" s="9" customFormat="1" ht="41.5" customHeight="1" x14ac:dyDescent="0.55000000000000004">
      <c r="A12" s="792"/>
      <c r="B12" s="57"/>
      <c r="C12" s="62"/>
      <c r="D12" s="68" t="s">
        <v>96</v>
      </c>
      <c r="E12" s="24">
        <v>15</v>
      </c>
      <c r="F12" s="789"/>
      <c r="G12" s="8"/>
    </row>
    <row r="13" spans="1:7" s="9" customFormat="1" ht="41.5" customHeight="1" x14ac:dyDescent="0.55000000000000004">
      <c r="A13" s="792"/>
      <c r="B13" s="57"/>
      <c r="C13" s="63"/>
      <c r="D13" s="69" t="s">
        <v>97</v>
      </c>
      <c r="E13" s="24">
        <v>20</v>
      </c>
      <c r="F13" s="790"/>
      <c r="G13" s="8"/>
    </row>
    <row r="14" spans="1:7" s="9" customFormat="1" ht="27" customHeight="1" x14ac:dyDescent="0.55000000000000004">
      <c r="A14" s="792"/>
      <c r="B14" s="57"/>
      <c r="C14" s="798" t="s">
        <v>8</v>
      </c>
      <c r="D14" s="799"/>
      <c r="E14" s="800"/>
      <c r="F14" s="70"/>
      <c r="G14" s="8"/>
    </row>
    <row r="15" spans="1:7" s="9" customFormat="1" ht="34.5" customHeight="1" x14ac:dyDescent="0.55000000000000004">
      <c r="A15" s="792"/>
      <c r="B15" s="57"/>
      <c r="C15" s="61"/>
      <c r="D15" s="54" t="s">
        <v>98</v>
      </c>
      <c r="E15" s="24">
        <v>1</v>
      </c>
      <c r="F15" s="788"/>
      <c r="G15" s="8"/>
    </row>
    <row r="16" spans="1:7" s="9" customFormat="1" ht="30.6" customHeight="1" x14ac:dyDescent="0.55000000000000004">
      <c r="A16" s="792"/>
      <c r="B16" s="57"/>
      <c r="C16" s="62"/>
      <c r="D16" s="55" t="s">
        <v>94</v>
      </c>
      <c r="E16" s="24">
        <v>5</v>
      </c>
      <c r="F16" s="789"/>
      <c r="G16" s="8"/>
    </row>
    <row r="17" spans="1:7" s="9" customFormat="1" ht="33" customHeight="1" x14ac:dyDescent="0.55000000000000004">
      <c r="A17" s="792"/>
      <c r="B17" s="57"/>
      <c r="C17" s="62"/>
      <c r="D17" s="55" t="s">
        <v>92</v>
      </c>
      <c r="E17" s="24">
        <v>10</v>
      </c>
      <c r="F17" s="789"/>
      <c r="G17" s="8"/>
    </row>
    <row r="18" spans="1:7" s="9" customFormat="1" ht="37.15" customHeight="1" x14ac:dyDescent="0.55000000000000004">
      <c r="A18" s="792"/>
      <c r="B18" s="57"/>
      <c r="C18" s="62"/>
      <c r="D18" s="55" t="s">
        <v>93</v>
      </c>
      <c r="E18" s="24">
        <v>15</v>
      </c>
      <c r="F18" s="789"/>
      <c r="G18" s="8"/>
    </row>
    <row r="19" spans="1:7" s="9" customFormat="1" ht="37.15" customHeight="1" x14ac:dyDescent="0.55000000000000004">
      <c r="A19" s="792"/>
      <c r="B19" s="57"/>
      <c r="C19" s="63"/>
      <c r="D19" s="56"/>
      <c r="E19" s="24">
        <v>20</v>
      </c>
      <c r="F19" s="790"/>
      <c r="G19" s="8"/>
    </row>
    <row r="20" spans="1:7" s="9" customFormat="1" ht="30.6" customHeight="1" x14ac:dyDescent="0.55000000000000004">
      <c r="A20" s="792"/>
      <c r="B20" s="57"/>
      <c r="C20" s="796" t="s">
        <v>9</v>
      </c>
      <c r="D20" s="797"/>
      <c r="E20" s="24">
        <v>1</v>
      </c>
      <c r="F20" s="34" t="s">
        <v>73</v>
      </c>
      <c r="G20" s="8"/>
    </row>
    <row r="21" spans="1:7" s="9" customFormat="1" ht="30.6" customHeight="1" x14ac:dyDescent="0.55000000000000004">
      <c r="A21" s="792"/>
      <c r="B21" s="57"/>
      <c r="C21" s="59"/>
      <c r="D21" s="55"/>
      <c r="E21" s="24">
        <v>5</v>
      </c>
      <c r="F21" s="34" t="s">
        <v>78</v>
      </c>
      <c r="G21" s="8"/>
    </row>
    <row r="22" spans="1:7" s="9" customFormat="1" ht="30.6" customHeight="1" x14ac:dyDescent="0.55000000000000004">
      <c r="A22" s="792"/>
      <c r="B22" s="57"/>
      <c r="C22" s="59"/>
      <c r="D22" s="55"/>
      <c r="E22" s="24">
        <v>10</v>
      </c>
      <c r="F22" s="34" t="s">
        <v>74</v>
      </c>
      <c r="G22" s="8"/>
    </row>
    <row r="23" spans="1:7" s="9" customFormat="1" ht="40.15" customHeight="1" x14ac:dyDescent="0.55000000000000004">
      <c r="A23" s="792"/>
      <c r="B23" s="57"/>
      <c r="C23" s="59"/>
      <c r="D23" s="55"/>
      <c r="E23" s="24">
        <v>15</v>
      </c>
      <c r="F23" s="34" t="s">
        <v>75</v>
      </c>
      <c r="G23" s="8"/>
    </row>
    <row r="24" spans="1:7" s="9" customFormat="1" ht="48.6" customHeight="1" x14ac:dyDescent="0.55000000000000004">
      <c r="A24" s="792"/>
      <c r="B24" s="57"/>
      <c r="C24" s="60"/>
      <c r="D24" s="56"/>
      <c r="E24" s="24">
        <v>20</v>
      </c>
      <c r="F24" s="34" t="s">
        <v>77</v>
      </c>
      <c r="G24" s="8"/>
    </row>
    <row r="25" spans="1:7" s="9" customFormat="1" ht="30.6" customHeight="1" x14ac:dyDescent="0.55000000000000004">
      <c r="A25" s="792"/>
      <c r="B25" s="57"/>
      <c r="C25" s="33" t="s">
        <v>62</v>
      </c>
      <c r="D25" s="791" t="s">
        <v>10</v>
      </c>
      <c r="E25" s="24">
        <v>1</v>
      </c>
      <c r="F25" s="34" t="s">
        <v>73</v>
      </c>
      <c r="G25" s="8"/>
    </row>
    <row r="26" spans="1:7" s="9" customFormat="1" ht="30.6" customHeight="1" x14ac:dyDescent="0.55000000000000004">
      <c r="A26" s="792"/>
      <c r="B26" s="57"/>
      <c r="C26" s="33" t="s">
        <v>63</v>
      </c>
      <c r="D26" s="791"/>
      <c r="E26" s="24">
        <v>5</v>
      </c>
      <c r="F26" s="34" t="s">
        <v>78</v>
      </c>
      <c r="G26" s="8"/>
    </row>
    <row r="27" spans="1:7" s="9" customFormat="1" ht="30.6" customHeight="1" x14ac:dyDescent="0.55000000000000004">
      <c r="A27" s="792"/>
      <c r="B27" s="57"/>
      <c r="C27" s="33" t="s">
        <v>64</v>
      </c>
      <c r="D27" s="791"/>
      <c r="E27" s="24">
        <v>10</v>
      </c>
      <c r="F27" s="34" t="s">
        <v>79</v>
      </c>
      <c r="G27" s="8"/>
    </row>
    <row r="28" spans="1:7" s="9" customFormat="1" ht="30.6" customHeight="1" x14ac:dyDescent="0.55000000000000004">
      <c r="A28" s="792"/>
      <c r="B28" s="57"/>
      <c r="C28" s="33" t="s">
        <v>65</v>
      </c>
      <c r="D28" s="791"/>
      <c r="E28" s="24">
        <v>15</v>
      </c>
      <c r="F28" s="34" t="s">
        <v>80</v>
      </c>
      <c r="G28" s="8"/>
    </row>
    <row r="29" spans="1:7" s="9" customFormat="1" ht="30.6" customHeight="1" x14ac:dyDescent="0.55000000000000004">
      <c r="A29" s="792"/>
      <c r="B29" s="58"/>
      <c r="C29" s="33" t="s">
        <v>66</v>
      </c>
      <c r="D29" s="791"/>
      <c r="E29" s="24">
        <v>20</v>
      </c>
      <c r="F29" s="34" t="s">
        <v>81</v>
      </c>
      <c r="G29" s="8"/>
    </row>
    <row r="30" spans="1:7" s="9" customFormat="1" ht="52.15" customHeight="1" x14ac:dyDescent="0.55000000000000004">
      <c r="A30" s="792">
        <v>2</v>
      </c>
      <c r="B30" s="793" t="s">
        <v>11</v>
      </c>
      <c r="C30" s="33" t="s">
        <v>62</v>
      </c>
      <c r="D30" s="791" t="s">
        <v>12</v>
      </c>
      <c r="E30" s="24">
        <v>1</v>
      </c>
      <c r="F30" s="34" t="s">
        <v>13</v>
      </c>
      <c r="G30" s="8"/>
    </row>
    <row r="31" spans="1:7" s="9" customFormat="1" ht="52.15" customHeight="1" x14ac:dyDescent="0.55000000000000004">
      <c r="A31" s="792"/>
      <c r="B31" s="794"/>
      <c r="C31" s="33" t="s">
        <v>63</v>
      </c>
      <c r="D31" s="791"/>
      <c r="E31" s="24">
        <v>6</v>
      </c>
      <c r="F31" s="34" t="s">
        <v>14</v>
      </c>
      <c r="G31" s="8"/>
    </row>
    <row r="32" spans="1:7" s="9" customFormat="1" ht="52.15" customHeight="1" x14ac:dyDescent="0.55000000000000004">
      <c r="A32" s="792"/>
      <c r="B32" s="794"/>
      <c r="C32" s="33" t="s">
        <v>64</v>
      </c>
      <c r="D32" s="791"/>
      <c r="E32" s="24">
        <v>9</v>
      </c>
      <c r="F32" s="34" t="s">
        <v>15</v>
      </c>
      <c r="G32" s="8"/>
    </row>
    <row r="33" spans="1:7" s="9" customFormat="1" ht="52.15" customHeight="1" x14ac:dyDescent="0.55000000000000004">
      <c r="A33" s="792"/>
      <c r="B33" s="794"/>
      <c r="C33" s="33" t="s">
        <v>65</v>
      </c>
      <c r="D33" s="791"/>
      <c r="E33" s="24">
        <v>12</v>
      </c>
      <c r="F33" s="34" t="s">
        <v>16</v>
      </c>
      <c r="G33" s="8"/>
    </row>
    <row r="34" spans="1:7" s="9" customFormat="1" ht="52.15" customHeight="1" x14ac:dyDescent="0.55000000000000004">
      <c r="A34" s="792"/>
      <c r="B34" s="794"/>
      <c r="C34" s="33" t="s">
        <v>66</v>
      </c>
      <c r="D34" s="791"/>
      <c r="E34" s="24">
        <v>15</v>
      </c>
      <c r="F34" s="34" t="s">
        <v>17</v>
      </c>
      <c r="G34" s="8"/>
    </row>
    <row r="35" spans="1:7" s="9" customFormat="1" ht="43.9" customHeight="1" x14ac:dyDescent="0.55000000000000004">
      <c r="A35" s="792"/>
      <c r="B35" s="794"/>
      <c r="C35" s="33" t="s">
        <v>62</v>
      </c>
      <c r="D35" s="791" t="s">
        <v>18</v>
      </c>
      <c r="E35" s="24">
        <v>1</v>
      </c>
      <c r="F35" s="34" t="s">
        <v>19</v>
      </c>
      <c r="G35" s="8"/>
    </row>
    <row r="36" spans="1:7" s="9" customFormat="1" ht="43.9" customHeight="1" x14ac:dyDescent="0.55000000000000004">
      <c r="A36" s="792"/>
      <c r="B36" s="794"/>
      <c r="C36" s="33" t="s">
        <v>63</v>
      </c>
      <c r="D36" s="791"/>
      <c r="E36" s="24">
        <v>5</v>
      </c>
      <c r="F36" s="34" t="s">
        <v>20</v>
      </c>
      <c r="G36" s="8"/>
    </row>
    <row r="37" spans="1:7" s="9" customFormat="1" ht="63.6" customHeight="1" x14ac:dyDescent="0.55000000000000004">
      <c r="A37" s="792"/>
      <c r="B37" s="794"/>
      <c r="C37" s="33" t="s">
        <v>64</v>
      </c>
      <c r="D37" s="791"/>
      <c r="E37" s="24">
        <v>10</v>
      </c>
      <c r="F37" s="34" t="s">
        <v>21</v>
      </c>
      <c r="G37" s="8"/>
    </row>
    <row r="38" spans="1:7" s="9" customFormat="1" ht="43.9" customHeight="1" x14ac:dyDescent="0.55000000000000004">
      <c r="A38" s="792"/>
      <c r="B38" s="794"/>
      <c r="C38" s="33" t="s">
        <v>65</v>
      </c>
      <c r="D38" s="791"/>
      <c r="E38" s="24">
        <v>15</v>
      </c>
      <c r="F38" s="34" t="s">
        <v>22</v>
      </c>
      <c r="G38" s="8"/>
    </row>
    <row r="39" spans="1:7" s="9" customFormat="1" ht="43.9" customHeight="1" x14ac:dyDescent="0.55000000000000004">
      <c r="A39" s="792"/>
      <c r="B39" s="794"/>
      <c r="C39" s="33" t="s">
        <v>66</v>
      </c>
      <c r="D39" s="791"/>
      <c r="E39" s="24">
        <v>20</v>
      </c>
      <c r="F39" s="34" t="s">
        <v>23</v>
      </c>
      <c r="G39" s="8"/>
    </row>
    <row r="40" spans="1:7" s="9" customFormat="1" ht="60" customHeight="1" x14ac:dyDescent="0.55000000000000004">
      <c r="A40" s="792"/>
      <c r="B40" s="794"/>
      <c r="C40" s="33" t="s">
        <v>62</v>
      </c>
      <c r="D40" s="791" t="s">
        <v>24</v>
      </c>
      <c r="E40" s="24">
        <v>1</v>
      </c>
      <c r="F40" s="34" t="s">
        <v>29</v>
      </c>
      <c r="G40" s="8"/>
    </row>
    <row r="41" spans="1:7" s="9" customFormat="1" ht="54" customHeight="1" x14ac:dyDescent="0.55000000000000004">
      <c r="A41" s="792"/>
      <c r="B41" s="794"/>
      <c r="C41" s="33" t="s">
        <v>63</v>
      </c>
      <c r="D41" s="791"/>
      <c r="E41" s="24">
        <v>5</v>
      </c>
      <c r="F41" s="34" t="s">
        <v>25</v>
      </c>
      <c r="G41" s="8"/>
    </row>
    <row r="42" spans="1:7" s="9" customFormat="1" ht="43.9" customHeight="1" x14ac:dyDescent="0.55000000000000004">
      <c r="A42" s="792"/>
      <c r="B42" s="794"/>
      <c r="C42" s="33" t="s">
        <v>64</v>
      </c>
      <c r="D42" s="791"/>
      <c r="E42" s="24">
        <v>10</v>
      </c>
      <c r="F42" s="34" t="s">
        <v>26</v>
      </c>
      <c r="G42" s="8"/>
    </row>
    <row r="43" spans="1:7" s="9" customFormat="1" ht="51.6" customHeight="1" x14ac:dyDescent="0.55000000000000004">
      <c r="A43" s="792"/>
      <c r="B43" s="794"/>
      <c r="C43" s="33" t="s">
        <v>65</v>
      </c>
      <c r="D43" s="791"/>
      <c r="E43" s="24">
        <v>15</v>
      </c>
      <c r="F43" s="34" t="s">
        <v>27</v>
      </c>
      <c r="G43" s="8"/>
    </row>
    <row r="44" spans="1:7" s="9" customFormat="1" ht="43.9" customHeight="1" x14ac:dyDescent="0.55000000000000004">
      <c r="A44" s="792"/>
      <c r="B44" s="794"/>
      <c r="C44" s="33" t="s">
        <v>66</v>
      </c>
      <c r="D44" s="791"/>
      <c r="E44" s="24">
        <v>20</v>
      </c>
      <c r="F44" s="34" t="s">
        <v>28</v>
      </c>
      <c r="G44" s="8"/>
    </row>
    <row r="45" spans="1:7" s="9" customFormat="1" ht="75" customHeight="1" x14ac:dyDescent="0.55000000000000004">
      <c r="A45" s="792"/>
      <c r="B45" s="794"/>
      <c r="C45" s="33" t="s">
        <v>62</v>
      </c>
      <c r="D45" s="31" t="s">
        <v>30</v>
      </c>
      <c r="E45" s="24">
        <v>1</v>
      </c>
      <c r="F45" s="34" t="s">
        <v>31</v>
      </c>
      <c r="G45" s="8"/>
    </row>
    <row r="46" spans="1:7" s="9" customFormat="1" ht="43.9" customHeight="1" x14ac:dyDescent="0.55000000000000004">
      <c r="A46" s="792"/>
      <c r="B46" s="794"/>
      <c r="C46" s="33" t="s">
        <v>63</v>
      </c>
      <c r="D46" s="32"/>
      <c r="E46" s="24">
        <v>6</v>
      </c>
      <c r="F46" s="34" t="s">
        <v>32</v>
      </c>
      <c r="G46" s="8"/>
    </row>
    <row r="47" spans="1:7" s="9" customFormat="1" ht="43.9" customHeight="1" x14ac:dyDescent="0.55000000000000004">
      <c r="A47" s="792"/>
      <c r="B47" s="794"/>
      <c r="C47" s="33" t="s">
        <v>64</v>
      </c>
      <c r="D47" s="32"/>
      <c r="E47" s="24">
        <v>9</v>
      </c>
      <c r="F47" s="34" t="s">
        <v>33</v>
      </c>
      <c r="G47" s="8"/>
    </row>
    <row r="48" spans="1:7" s="9" customFormat="1" ht="43.9" customHeight="1" x14ac:dyDescent="0.55000000000000004">
      <c r="A48" s="792"/>
      <c r="B48" s="794"/>
      <c r="C48" s="33" t="s">
        <v>65</v>
      </c>
      <c r="D48" s="32"/>
      <c r="E48" s="24">
        <v>12</v>
      </c>
      <c r="F48" s="34" t="s">
        <v>34</v>
      </c>
      <c r="G48" s="8"/>
    </row>
    <row r="49" spans="1:7" s="9" customFormat="1" ht="55.15" customHeight="1" x14ac:dyDescent="0.55000000000000004">
      <c r="A49" s="792"/>
      <c r="B49" s="795"/>
      <c r="C49" s="33" t="s">
        <v>66</v>
      </c>
      <c r="D49" s="32"/>
      <c r="E49" s="24">
        <v>15</v>
      </c>
      <c r="F49" s="34" t="s">
        <v>35</v>
      </c>
      <c r="G49" s="8"/>
    </row>
    <row r="50" spans="1:7" x14ac:dyDescent="0.55000000000000004">
      <c r="E50" s="25"/>
    </row>
  </sheetData>
  <mergeCells count="12">
    <mergeCell ref="F15:F19"/>
    <mergeCell ref="F9:F13"/>
    <mergeCell ref="D40:D44"/>
    <mergeCell ref="D25:D29"/>
    <mergeCell ref="A30:A49"/>
    <mergeCell ref="B30:B49"/>
    <mergeCell ref="D30:D34"/>
    <mergeCell ref="D35:D39"/>
    <mergeCell ref="A8:A29"/>
    <mergeCell ref="C20:D20"/>
    <mergeCell ref="C14:E14"/>
    <mergeCell ref="C8:E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G75"/>
  <sheetViews>
    <sheetView topLeftCell="A48" workbookViewId="0">
      <selection activeCell="E86" sqref="E86"/>
    </sheetView>
  </sheetViews>
  <sheetFormatPr defaultRowHeight="16.2" x14ac:dyDescent="0.55000000000000004"/>
  <cols>
    <col min="1" max="1" width="6.26171875" style="1" customWidth="1"/>
    <col min="2" max="2" width="29.68359375" style="6" customWidth="1"/>
    <col min="3" max="3" width="10.26171875" style="1" customWidth="1"/>
    <col min="4" max="4" width="24.68359375" style="1" customWidth="1"/>
    <col min="5" max="5" width="11.26171875" style="3" customWidth="1"/>
    <col min="6" max="6" width="64.26171875" style="36" customWidth="1"/>
    <col min="7" max="7" width="9.26171875" style="1" customWidth="1"/>
  </cols>
  <sheetData>
    <row r="1" spans="1:7" ht="16.899999999999999" hidden="1" customHeight="1" x14ac:dyDescent="0.55000000000000004">
      <c r="A1" s="1" t="s">
        <v>53</v>
      </c>
      <c r="B1" s="1"/>
      <c r="D1" s="2"/>
    </row>
    <row r="2" spans="1:7" ht="16.899999999999999" hidden="1" customHeight="1" x14ac:dyDescent="0.55000000000000004">
      <c r="A2" s="1" t="s">
        <v>52</v>
      </c>
      <c r="B2" s="1"/>
    </row>
    <row r="3" spans="1:7" ht="16.899999999999999" hidden="1" customHeight="1" x14ac:dyDescent="0.55000000000000004"/>
    <row r="4" spans="1:7" ht="34.5" hidden="1" customHeight="1" x14ac:dyDescent="0.55000000000000004">
      <c r="A4" s="16" t="s">
        <v>54</v>
      </c>
      <c r="B4" s="16"/>
      <c r="C4" s="16"/>
      <c r="D4" s="16"/>
      <c r="E4" s="16"/>
      <c r="F4" s="37"/>
    </row>
    <row r="5" spans="1:7" ht="19.5" hidden="1" customHeight="1" x14ac:dyDescent="0.55000000000000004">
      <c r="A5" s="16"/>
      <c r="B5" s="7"/>
      <c r="C5" s="16"/>
      <c r="D5" s="16"/>
      <c r="E5" s="4"/>
    </row>
    <row r="6" spans="1:7" s="19" customFormat="1" ht="32.5" customHeight="1" x14ac:dyDescent="0.65">
      <c r="A6" s="20">
        <v>4</v>
      </c>
      <c r="B6" s="13" t="s">
        <v>56</v>
      </c>
      <c r="C6" s="21" t="s">
        <v>55</v>
      </c>
      <c r="D6" s="22" t="s">
        <v>0</v>
      </c>
      <c r="E6" s="12" t="s">
        <v>61</v>
      </c>
      <c r="F6" s="38" t="s">
        <v>1</v>
      </c>
      <c r="G6" s="5"/>
    </row>
    <row r="7" spans="1:7" s="28" customFormat="1" ht="22.8" x14ac:dyDescent="0.55000000000000004">
      <c r="A7" s="30" t="s">
        <v>67</v>
      </c>
      <c r="B7" s="29" t="s">
        <v>86</v>
      </c>
      <c r="C7" s="26">
        <f>A65</f>
        <v>2</v>
      </c>
      <c r="D7" s="23">
        <f>D8+D49</f>
        <v>13</v>
      </c>
      <c r="E7" s="35">
        <f>E8</f>
        <v>150</v>
      </c>
      <c r="F7" s="39"/>
      <c r="G7" s="27"/>
    </row>
    <row r="8" spans="1:7" s="51" customFormat="1" ht="22.8" x14ac:dyDescent="0.55000000000000004">
      <c r="A8" s="45" t="s">
        <v>88</v>
      </c>
      <c r="B8" s="46" t="s">
        <v>85</v>
      </c>
      <c r="C8" s="47">
        <f>A29</f>
        <v>2</v>
      </c>
      <c r="D8" s="48">
        <v>8</v>
      </c>
      <c r="E8" s="49">
        <f>E13+E18+E23+E28+E33+E43+E48+E38</f>
        <v>150</v>
      </c>
      <c r="F8" s="50"/>
      <c r="G8" s="44"/>
    </row>
    <row r="9" spans="1:7" s="9" customFormat="1" ht="41.5" customHeight="1" x14ac:dyDescent="0.55000000000000004">
      <c r="A9" s="792">
        <v>1</v>
      </c>
      <c r="B9" s="805" t="s">
        <v>6</v>
      </c>
      <c r="C9" s="33" t="s">
        <v>62</v>
      </c>
      <c r="D9" s="791" t="s">
        <v>7</v>
      </c>
      <c r="E9" s="24">
        <v>1</v>
      </c>
      <c r="F9" s="34" t="s">
        <v>68</v>
      </c>
      <c r="G9" s="8"/>
    </row>
    <row r="10" spans="1:7" s="9" customFormat="1" ht="41.5" customHeight="1" x14ac:dyDescent="0.55000000000000004">
      <c r="A10" s="792"/>
      <c r="B10" s="805"/>
      <c r="C10" s="33" t="s">
        <v>63</v>
      </c>
      <c r="D10" s="791"/>
      <c r="E10" s="24">
        <v>5</v>
      </c>
      <c r="F10" s="34" t="s">
        <v>69</v>
      </c>
      <c r="G10" s="8"/>
    </row>
    <row r="11" spans="1:7" s="9" customFormat="1" ht="41.5" customHeight="1" x14ac:dyDescent="0.55000000000000004">
      <c r="A11" s="792"/>
      <c r="B11" s="805"/>
      <c r="C11" s="33" t="s">
        <v>64</v>
      </c>
      <c r="D11" s="791"/>
      <c r="E11" s="24">
        <v>10</v>
      </c>
      <c r="F11" s="34" t="s">
        <v>70</v>
      </c>
      <c r="G11" s="8"/>
    </row>
    <row r="12" spans="1:7" s="9" customFormat="1" ht="41.5" customHeight="1" x14ac:dyDescent="0.55000000000000004">
      <c r="A12" s="792"/>
      <c r="B12" s="805"/>
      <c r="C12" s="33" t="s">
        <v>65</v>
      </c>
      <c r="D12" s="791"/>
      <c r="E12" s="24">
        <v>15</v>
      </c>
      <c r="F12" s="34" t="s">
        <v>71</v>
      </c>
      <c r="G12" s="8"/>
    </row>
    <row r="13" spans="1:7" s="9" customFormat="1" ht="41.5" customHeight="1" x14ac:dyDescent="0.55000000000000004">
      <c r="A13" s="792"/>
      <c r="B13" s="805"/>
      <c r="C13" s="33" t="s">
        <v>66</v>
      </c>
      <c r="D13" s="791"/>
      <c r="E13" s="24">
        <v>20</v>
      </c>
      <c r="F13" s="34" t="s">
        <v>72</v>
      </c>
      <c r="G13" s="8"/>
    </row>
    <row r="14" spans="1:7" s="9" customFormat="1" ht="30.6" customHeight="1" x14ac:dyDescent="0.55000000000000004">
      <c r="A14" s="792"/>
      <c r="B14" s="805"/>
      <c r="C14" s="33" t="s">
        <v>62</v>
      </c>
      <c r="D14" s="791" t="s">
        <v>8</v>
      </c>
      <c r="E14" s="24">
        <v>1</v>
      </c>
      <c r="F14" s="34" t="s">
        <v>73</v>
      </c>
      <c r="G14" s="8"/>
    </row>
    <row r="15" spans="1:7" s="9" customFormat="1" ht="30.6" customHeight="1" x14ac:dyDescent="0.55000000000000004">
      <c r="A15" s="792"/>
      <c r="B15" s="805"/>
      <c r="C15" s="33" t="s">
        <v>63</v>
      </c>
      <c r="D15" s="791"/>
      <c r="E15" s="24">
        <v>5</v>
      </c>
      <c r="F15" s="34" t="s">
        <v>78</v>
      </c>
      <c r="G15" s="8"/>
    </row>
    <row r="16" spans="1:7" s="9" customFormat="1" ht="30.6" customHeight="1" x14ac:dyDescent="0.55000000000000004">
      <c r="A16" s="792"/>
      <c r="B16" s="805"/>
      <c r="C16" s="33" t="s">
        <v>64</v>
      </c>
      <c r="D16" s="791"/>
      <c r="E16" s="24">
        <v>10</v>
      </c>
      <c r="F16" s="34" t="s">
        <v>74</v>
      </c>
      <c r="G16" s="8"/>
    </row>
    <row r="17" spans="1:7" s="9" customFormat="1" ht="37.15" customHeight="1" x14ac:dyDescent="0.55000000000000004">
      <c r="A17" s="792"/>
      <c r="B17" s="805"/>
      <c r="C17" s="33" t="s">
        <v>65</v>
      </c>
      <c r="D17" s="791"/>
      <c r="E17" s="24">
        <v>15</v>
      </c>
      <c r="F17" s="34" t="s">
        <v>75</v>
      </c>
      <c r="G17" s="8"/>
    </row>
    <row r="18" spans="1:7" s="9" customFormat="1" ht="37.15" customHeight="1" x14ac:dyDescent="0.55000000000000004">
      <c r="A18" s="792"/>
      <c r="B18" s="805"/>
      <c r="C18" s="33" t="s">
        <v>66</v>
      </c>
      <c r="D18" s="791"/>
      <c r="E18" s="24">
        <v>20</v>
      </c>
      <c r="F18" s="34" t="s">
        <v>76</v>
      </c>
      <c r="G18" s="8"/>
    </row>
    <row r="19" spans="1:7" s="9" customFormat="1" ht="30.6" customHeight="1" x14ac:dyDescent="0.55000000000000004">
      <c r="A19" s="792"/>
      <c r="B19" s="805"/>
      <c r="C19" s="33" t="s">
        <v>62</v>
      </c>
      <c r="D19" s="791" t="s">
        <v>9</v>
      </c>
      <c r="E19" s="24">
        <v>1</v>
      </c>
      <c r="F19" s="34" t="s">
        <v>73</v>
      </c>
      <c r="G19" s="8"/>
    </row>
    <row r="20" spans="1:7" s="9" customFormat="1" ht="30.6" customHeight="1" x14ac:dyDescent="0.55000000000000004">
      <c r="A20" s="792"/>
      <c r="B20" s="805"/>
      <c r="C20" s="33" t="s">
        <v>63</v>
      </c>
      <c r="D20" s="791"/>
      <c r="E20" s="24">
        <v>5</v>
      </c>
      <c r="F20" s="34" t="s">
        <v>78</v>
      </c>
      <c r="G20" s="8"/>
    </row>
    <row r="21" spans="1:7" s="9" customFormat="1" ht="30.6" customHeight="1" x14ac:dyDescent="0.55000000000000004">
      <c r="A21" s="792"/>
      <c r="B21" s="805"/>
      <c r="C21" s="33" t="s">
        <v>64</v>
      </c>
      <c r="D21" s="791"/>
      <c r="E21" s="24">
        <v>10</v>
      </c>
      <c r="F21" s="34" t="s">
        <v>74</v>
      </c>
      <c r="G21" s="8"/>
    </row>
    <row r="22" spans="1:7" s="9" customFormat="1" ht="40.15" customHeight="1" x14ac:dyDescent="0.55000000000000004">
      <c r="A22" s="792"/>
      <c r="B22" s="805"/>
      <c r="C22" s="33" t="s">
        <v>65</v>
      </c>
      <c r="D22" s="791"/>
      <c r="E22" s="24">
        <v>15</v>
      </c>
      <c r="F22" s="34" t="s">
        <v>75</v>
      </c>
      <c r="G22" s="8"/>
    </row>
    <row r="23" spans="1:7" s="9" customFormat="1" ht="48.6" customHeight="1" x14ac:dyDescent="0.55000000000000004">
      <c r="A23" s="792"/>
      <c r="B23" s="805"/>
      <c r="C23" s="33" t="s">
        <v>66</v>
      </c>
      <c r="D23" s="791"/>
      <c r="E23" s="24">
        <v>20</v>
      </c>
      <c r="F23" s="34" t="s">
        <v>77</v>
      </c>
      <c r="G23" s="8"/>
    </row>
    <row r="24" spans="1:7" s="9" customFormat="1" ht="30.6" customHeight="1" x14ac:dyDescent="0.55000000000000004">
      <c r="A24" s="792"/>
      <c r="B24" s="805"/>
      <c r="C24" s="33" t="s">
        <v>62</v>
      </c>
      <c r="D24" s="791" t="s">
        <v>10</v>
      </c>
      <c r="E24" s="24">
        <v>1</v>
      </c>
      <c r="F24" s="34" t="s">
        <v>73</v>
      </c>
      <c r="G24" s="8"/>
    </row>
    <row r="25" spans="1:7" s="9" customFormat="1" ht="30.6" customHeight="1" x14ac:dyDescent="0.55000000000000004">
      <c r="A25" s="792"/>
      <c r="B25" s="805"/>
      <c r="C25" s="33" t="s">
        <v>63</v>
      </c>
      <c r="D25" s="791"/>
      <c r="E25" s="24">
        <v>5</v>
      </c>
      <c r="F25" s="34" t="s">
        <v>78</v>
      </c>
      <c r="G25" s="8"/>
    </row>
    <row r="26" spans="1:7" s="9" customFormat="1" ht="30.6" customHeight="1" x14ac:dyDescent="0.55000000000000004">
      <c r="A26" s="792"/>
      <c r="B26" s="805"/>
      <c r="C26" s="33" t="s">
        <v>64</v>
      </c>
      <c r="D26" s="791"/>
      <c r="E26" s="24">
        <v>10</v>
      </c>
      <c r="F26" s="34" t="s">
        <v>79</v>
      </c>
      <c r="G26" s="8"/>
    </row>
    <row r="27" spans="1:7" s="9" customFormat="1" ht="30.6" customHeight="1" x14ac:dyDescent="0.55000000000000004">
      <c r="A27" s="792"/>
      <c r="B27" s="805"/>
      <c r="C27" s="33" t="s">
        <v>65</v>
      </c>
      <c r="D27" s="791"/>
      <c r="E27" s="24">
        <v>15</v>
      </c>
      <c r="F27" s="34" t="s">
        <v>80</v>
      </c>
      <c r="G27" s="8"/>
    </row>
    <row r="28" spans="1:7" s="9" customFormat="1" ht="30.6" customHeight="1" x14ac:dyDescent="0.55000000000000004">
      <c r="A28" s="792"/>
      <c r="B28" s="805"/>
      <c r="C28" s="33" t="s">
        <v>66</v>
      </c>
      <c r="D28" s="791"/>
      <c r="E28" s="24">
        <v>20</v>
      </c>
      <c r="F28" s="34" t="s">
        <v>81</v>
      </c>
      <c r="G28" s="8"/>
    </row>
    <row r="29" spans="1:7" s="9" customFormat="1" ht="52.15" customHeight="1" x14ac:dyDescent="0.55000000000000004">
      <c r="A29" s="792">
        <v>2</v>
      </c>
      <c r="B29" s="793" t="s">
        <v>11</v>
      </c>
      <c r="C29" s="33" t="s">
        <v>62</v>
      </c>
      <c r="D29" s="791" t="s">
        <v>12</v>
      </c>
      <c r="E29" s="24">
        <v>1</v>
      </c>
      <c r="F29" s="34" t="s">
        <v>13</v>
      </c>
      <c r="G29" s="8"/>
    </row>
    <row r="30" spans="1:7" s="9" customFormat="1" ht="52.15" customHeight="1" x14ac:dyDescent="0.55000000000000004">
      <c r="A30" s="792"/>
      <c r="B30" s="794"/>
      <c r="C30" s="33" t="s">
        <v>63</v>
      </c>
      <c r="D30" s="791"/>
      <c r="E30" s="24">
        <v>6</v>
      </c>
      <c r="F30" s="34" t="s">
        <v>14</v>
      </c>
      <c r="G30" s="8"/>
    </row>
    <row r="31" spans="1:7" s="9" customFormat="1" ht="52.15" customHeight="1" x14ac:dyDescent="0.55000000000000004">
      <c r="A31" s="792"/>
      <c r="B31" s="794"/>
      <c r="C31" s="33" t="s">
        <v>64</v>
      </c>
      <c r="D31" s="791"/>
      <c r="E31" s="24">
        <v>9</v>
      </c>
      <c r="F31" s="34" t="s">
        <v>15</v>
      </c>
      <c r="G31" s="8"/>
    </row>
    <row r="32" spans="1:7" s="9" customFormat="1" ht="52.15" customHeight="1" x14ac:dyDescent="0.55000000000000004">
      <c r="A32" s="792"/>
      <c r="B32" s="794"/>
      <c r="C32" s="33" t="s">
        <v>65</v>
      </c>
      <c r="D32" s="791"/>
      <c r="E32" s="24">
        <v>12</v>
      </c>
      <c r="F32" s="34" t="s">
        <v>16</v>
      </c>
      <c r="G32" s="8"/>
    </row>
    <row r="33" spans="1:7" s="9" customFormat="1" ht="52.15" customHeight="1" x14ac:dyDescent="0.55000000000000004">
      <c r="A33" s="792"/>
      <c r="B33" s="794"/>
      <c r="C33" s="33" t="s">
        <v>66</v>
      </c>
      <c r="D33" s="791"/>
      <c r="E33" s="24">
        <v>15</v>
      </c>
      <c r="F33" s="34" t="s">
        <v>17</v>
      </c>
      <c r="G33" s="8"/>
    </row>
    <row r="34" spans="1:7" s="9" customFormat="1" ht="43.9" customHeight="1" x14ac:dyDescent="0.55000000000000004">
      <c r="A34" s="792"/>
      <c r="B34" s="794"/>
      <c r="C34" s="33" t="s">
        <v>62</v>
      </c>
      <c r="D34" s="791" t="s">
        <v>18</v>
      </c>
      <c r="E34" s="24">
        <v>1</v>
      </c>
      <c r="F34" s="34" t="s">
        <v>19</v>
      </c>
      <c r="G34" s="8"/>
    </row>
    <row r="35" spans="1:7" s="9" customFormat="1" ht="43.9" customHeight="1" x14ac:dyDescent="0.55000000000000004">
      <c r="A35" s="792"/>
      <c r="B35" s="794"/>
      <c r="C35" s="33" t="s">
        <v>63</v>
      </c>
      <c r="D35" s="791"/>
      <c r="E35" s="24">
        <v>5</v>
      </c>
      <c r="F35" s="34" t="s">
        <v>20</v>
      </c>
      <c r="G35" s="8"/>
    </row>
    <row r="36" spans="1:7" s="9" customFormat="1" ht="63.6" customHeight="1" x14ac:dyDescent="0.55000000000000004">
      <c r="A36" s="792"/>
      <c r="B36" s="794"/>
      <c r="C36" s="33" t="s">
        <v>64</v>
      </c>
      <c r="D36" s="791"/>
      <c r="E36" s="24">
        <v>10</v>
      </c>
      <c r="F36" s="34" t="s">
        <v>21</v>
      </c>
      <c r="G36" s="8"/>
    </row>
    <row r="37" spans="1:7" s="9" customFormat="1" ht="43.9" customHeight="1" x14ac:dyDescent="0.55000000000000004">
      <c r="A37" s="792"/>
      <c r="B37" s="794"/>
      <c r="C37" s="33" t="s">
        <v>65</v>
      </c>
      <c r="D37" s="791"/>
      <c r="E37" s="24">
        <v>15</v>
      </c>
      <c r="F37" s="34" t="s">
        <v>22</v>
      </c>
      <c r="G37" s="8"/>
    </row>
    <row r="38" spans="1:7" s="9" customFormat="1" ht="43.9" customHeight="1" x14ac:dyDescent="0.55000000000000004">
      <c r="A38" s="792"/>
      <c r="B38" s="794"/>
      <c r="C38" s="33" t="s">
        <v>66</v>
      </c>
      <c r="D38" s="791"/>
      <c r="E38" s="24">
        <v>20</v>
      </c>
      <c r="F38" s="34" t="s">
        <v>23</v>
      </c>
      <c r="G38" s="8"/>
    </row>
    <row r="39" spans="1:7" s="9" customFormat="1" ht="60" customHeight="1" x14ac:dyDescent="0.55000000000000004">
      <c r="A39" s="792"/>
      <c r="B39" s="794"/>
      <c r="C39" s="33" t="s">
        <v>62</v>
      </c>
      <c r="D39" s="791" t="s">
        <v>24</v>
      </c>
      <c r="E39" s="24">
        <v>1</v>
      </c>
      <c r="F39" s="34" t="s">
        <v>29</v>
      </c>
      <c r="G39" s="8"/>
    </row>
    <row r="40" spans="1:7" s="9" customFormat="1" ht="54" customHeight="1" x14ac:dyDescent="0.55000000000000004">
      <c r="A40" s="792"/>
      <c r="B40" s="794"/>
      <c r="C40" s="33" t="s">
        <v>63</v>
      </c>
      <c r="D40" s="791"/>
      <c r="E40" s="24">
        <v>5</v>
      </c>
      <c r="F40" s="34" t="s">
        <v>25</v>
      </c>
      <c r="G40" s="8"/>
    </row>
    <row r="41" spans="1:7" s="9" customFormat="1" ht="43.9" customHeight="1" x14ac:dyDescent="0.55000000000000004">
      <c r="A41" s="792"/>
      <c r="B41" s="794"/>
      <c r="C41" s="33" t="s">
        <v>64</v>
      </c>
      <c r="D41" s="791"/>
      <c r="E41" s="24">
        <v>10</v>
      </c>
      <c r="F41" s="34" t="s">
        <v>26</v>
      </c>
      <c r="G41" s="8"/>
    </row>
    <row r="42" spans="1:7" s="9" customFormat="1" ht="51.6" customHeight="1" x14ac:dyDescent="0.55000000000000004">
      <c r="A42" s="792"/>
      <c r="B42" s="794"/>
      <c r="C42" s="33" t="s">
        <v>65</v>
      </c>
      <c r="D42" s="791"/>
      <c r="E42" s="24">
        <v>15</v>
      </c>
      <c r="F42" s="34" t="s">
        <v>27</v>
      </c>
      <c r="G42" s="8"/>
    </row>
    <row r="43" spans="1:7" s="9" customFormat="1" ht="43.9" customHeight="1" x14ac:dyDescent="0.55000000000000004">
      <c r="A43" s="792"/>
      <c r="B43" s="794"/>
      <c r="C43" s="33" t="s">
        <v>66</v>
      </c>
      <c r="D43" s="791"/>
      <c r="E43" s="24">
        <v>20</v>
      </c>
      <c r="F43" s="34" t="s">
        <v>28</v>
      </c>
      <c r="G43" s="8"/>
    </row>
    <row r="44" spans="1:7" s="9" customFormat="1" ht="75" customHeight="1" x14ac:dyDescent="0.55000000000000004">
      <c r="A44" s="792"/>
      <c r="B44" s="794"/>
      <c r="C44" s="33" t="s">
        <v>62</v>
      </c>
      <c r="D44" s="31" t="s">
        <v>30</v>
      </c>
      <c r="E44" s="24">
        <v>1</v>
      </c>
      <c r="F44" s="34" t="s">
        <v>31</v>
      </c>
      <c r="G44" s="8"/>
    </row>
    <row r="45" spans="1:7" s="9" customFormat="1" ht="43.9" customHeight="1" x14ac:dyDescent="0.55000000000000004">
      <c r="A45" s="792"/>
      <c r="B45" s="794"/>
      <c r="C45" s="33" t="s">
        <v>63</v>
      </c>
      <c r="D45" s="32"/>
      <c r="E45" s="24">
        <v>6</v>
      </c>
      <c r="F45" s="34" t="s">
        <v>32</v>
      </c>
      <c r="G45" s="8"/>
    </row>
    <row r="46" spans="1:7" s="9" customFormat="1" ht="43.9" customHeight="1" x14ac:dyDescent="0.55000000000000004">
      <c r="A46" s="792"/>
      <c r="B46" s="794"/>
      <c r="C46" s="33" t="s">
        <v>64</v>
      </c>
      <c r="D46" s="32"/>
      <c r="E46" s="24">
        <v>9</v>
      </c>
      <c r="F46" s="34" t="s">
        <v>33</v>
      </c>
      <c r="G46" s="8"/>
    </row>
    <row r="47" spans="1:7" s="9" customFormat="1" ht="43.9" customHeight="1" x14ac:dyDescent="0.55000000000000004">
      <c r="A47" s="792"/>
      <c r="B47" s="794"/>
      <c r="C47" s="33" t="s">
        <v>65</v>
      </c>
      <c r="D47" s="32"/>
      <c r="E47" s="24">
        <v>12</v>
      </c>
      <c r="F47" s="34" t="s">
        <v>34</v>
      </c>
      <c r="G47" s="8"/>
    </row>
    <row r="48" spans="1:7" s="9" customFormat="1" ht="55.15" customHeight="1" x14ac:dyDescent="0.55000000000000004">
      <c r="A48" s="792"/>
      <c r="B48" s="795"/>
      <c r="C48" s="33" t="s">
        <v>66</v>
      </c>
      <c r="D48" s="32"/>
      <c r="E48" s="24">
        <v>15</v>
      </c>
      <c r="F48" s="34" t="s">
        <v>35</v>
      </c>
      <c r="G48" s="8"/>
    </row>
    <row r="49" spans="1:7" s="51" customFormat="1" ht="33" customHeight="1" x14ac:dyDescent="0.55000000000000004">
      <c r="A49" s="45" t="s">
        <v>89</v>
      </c>
      <c r="B49" s="52" t="s">
        <v>87</v>
      </c>
      <c r="C49" s="47">
        <f>A65</f>
        <v>2</v>
      </c>
      <c r="D49" s="47">
        <v>5</v>
      </c>
      <c r="E49" s="47">
        <f>E54+E59+E64+E69+E74</f>
        <v>135</v>
      </c>
      <c r="F49" s="53"/>
      <c r="G49" s="44"/>
    </row>
    <row r="50" spans="1:7" s="9" customFormat="1" ht="30.6" customHeight="1" x14ac:dyDescent="0.55000000000000004">
      <c r="A50" s="792">
        <v>1</v>
      </c>
      <c r="B50" s="805" t="s">
        <v>36</v>
      </c>
      <c r="C50" s="33" t="s">
        <v>62</v>
      </c>
      <c r="D50" s="791" t="s">
        <v>38</v>
      </c>
      <c r="E50" s="24">
        <v>5</v>
      </c>
      <c r="F50" s="34" t="s">
        <v>39</v>
      </c>
      <c r="G50" s="8"/>
    </row>
    <row r="51" spans="1:7" s="9" customFormat="1" ht="30.6" customHeight="1" x14ac:dyDescent="0.55000000000000004">
      <c r="A51" s="792"/>
      <c r="B51" s="805"/>
      <c r="C51" s="33" t="s">
        <v>63</v>
      </c>
      <c r="D51" s="791"/>
      <c r="E51" s="24">
        <v>10</v>
      </c>
      <c r="F51" s="34"/>
      <c r="G51" s="8"/>
    </row>
    <row r="52" spans="1:7" s="9" customFormat="1" ht="30.6" customHeight="1" x14ac:dyDescent="0.55000000000000004">
      <c r="A52" s="792"/>
      <c r="B52" s="805"/>
      <c r="C52" s="33" t="s">
        <v>64</v>
      </c>
      <c r="D52" s="791"/>
      <c r="E52" s="24">
        <v>15</v>
      </c>
      <c r="F52" s="34"/>
      <c r="G52" s="8"/>
    </row>
    <row r="53" spans="1:7" s="9" customFormat="1" ht="30.6" customHeight="1" x14ac:dyDescent="0.55000000000000004">
      <c r="A53" s="792"/>
      <c r="B53" s="805"/>
      <c r="C53" s="33" t="s">
        <v>65</v>
      </c>
      <c r="D53" s="791"/>
      <c r="E53" s="24">
        <v>20</v>
      </c>
      <c r="F53" s="34"/>
      <c r="G53" s="8"/>
    </row>
    <row r="54" spans="1:7" s="9" customFormat="1" ht="30.6" customHeight="1" x14ac:dyDescent="0.55000000000000004">
      <c r="A54" s="792"/>
      <c r="B54" s="805"/>
      <c r="C54" s="33" t="s">
        <v>66</v>
      </c>
      <c r="D54" s="791"/>
      <c r="E54" s="24">
        <v>25</v>
      </c>
      <c r="F54" s="34"/>
      <c r="G54" s="8"/>
    </row>
    <row r="55" spans="1:7" s="9" customFormat="1" ht="30.6" customHeight="1" x14ac:dyDescent="0.55000000000000004">
      <c r="A55" s="792"/>
      <c r="B55" s="805"/>
      <c r="C55" s="33" t="s">
        <v>62</v>
      </c>
      <c r="D55" s="791" t="s">
        <v>37</v>
      </c>
      <c r="E55" s="24">
        <v>5</v>
      </c>
      <c r="F55" s="34"/>
      <c r="G55" s="8"/>
    </row>
    <row r="56" spans="1:7" s="9" customFormat="1" ht="30.6" customHeight="1" x14ac:dyDescent="0.55000000000000004">
      <c r="A56" s="792"/>
      <c r="B56" s="805"/>
      <c r="C56" s="33" t="s">
        <v>63</v>
      </c>
      <c r="D56" s="791"/>
      <c r="E56" s="24">
        <v>10</v>
      </c>
      <c r="F56" s="34"/>
      <c r="G56" s="8"/>
    </row>
    <row r="57" spans="1:7" s="9" customFormat="1" ht="30.6" customHeight="1" x14ac:dyDescent="0.55000000000000004">
      <c r="A57" s="792"/>
      <c r="B57" s="805"/>
      <c r="C57" s="33" t="s">
        <v>64</v>
      </c>
      <c r="D57" s="791"/>
      <c r="E57" s="24">
        <v>15</v>
      </c>
      <c r="F57" s="34"/>
      <c r="G57" s="8"/>
    </row>
    <row r="58" spans="1:7" s="9" customFormat="1" ht="30.6" customHeight="1" x14ac:dyDescent="0.55000000000000004">
      <c r="A58" s="792"/>
      <c r="B58" s="805"/>
      <c r="C58" s="33" t="s">
        <v>65</v>
      </c>
      <c r="D58" s="791"/>
      <c r="E58" s="24">
        <v>20</v>
      </c>
      <c r="F58" s="34"/>
      <c r="G58" s="8"/>
    </row>
    <row r="59" spans="1:7" s="9" customFormat="1" ht="30.6" customHeight="1" x14ac:dyDescent="0.55000000000000004">
      <c r="A59" s="792"/>
      <c r="B59" s="805"/>
      <c r="C59" s="33" t="s">
        <v>66</v>
      </c>
      <c r="D59" s="791"/>
      <c r="E59" s="24">
        <v>25</v>
      </c>
      <c r="F59" s="34"/>
      <c r="G59" s="8"/>
    </row>
    <row r="60" spans="1:7" s="9" customFormat="1" ht="30.6" customHeight="1" x14ac:dyDescent="0.55000000000000004">
      <c r="A60" s="792"/>
      <c r="B60" s="805"/>
      <c r="C60" s="33" t="s">
        <v>62</v>
      </c>
      <c r="D60" s="791" t="s">
        <v>40</v>
      </c>
      <c r="E60" s="24">
        <v>5</v>
      </c>
      <c r="F60" s="34"/>
      <c r="G60" s="8"/>
    </row>
    <row r="61" spans="1:7" s="9" customFormat="1" ht="30.6" customHeight="1" x14ac:dyDescent="0.55000000000000004">
      <c r="A61" s="792"/>
      <c r="B61" s="805"/>
      <c r="C61" s="33" t="s">
        <v>63</v>
      </c>
      <c r="D61" s="791"/>
      <c r="E61" s="24">
        <v>10</v>
      </c>
      <c r="F61" s="34"/>
      <c r="G61" s="8"/>
    </row>
    <row r="62" spans="1:7" s="9" customFormat="1" ht="30.6" customHeight="1" x14ac:dyDescent="0.55000000000000004">
      <c r="A62" s="792"/>
      <c r="B62" s="805"/>
      <c r="C62" s="33" t="s">
        <v>64</v>
      </c>
      <c r="D62" s="791"/>
      <c r="E62" s="24">
        <v>15</v>
      </c>
      <c r="F62" s="34"/>
      <c r="G62" s="8"/>
    </row>
    <row r="63" spans="1:7" s="9" customFormat="1" ht="30.6" customHeight="1" x14ac:dyDescent="0.55000000000000004">
      <c r="A63" s="792"/>
      <c r="B63" s="805"/>
      <c r="C63" s="33" t="s">
        <v>65</v>
      </c>
      <c r="D63" s="791"/>
      <c r="E63" s="24">
        <v>20</v>
      </c>
      <c r="F63" s="34"/>
      <c r="G63" s="8"/>
    </row>
    <row r="64" spans="1:7" s="9" customFormat="1" ht="30.6" customHeight="1" x14ac:dyDescent="0.55000000000000004">
      <c r="A64" s="792"/>
      <c r="B64" s="805"/>
      <c r="C64" s="33" t="s">
        <v>66</v>
      </c>
      <c r="D64" s="791"/>
      <c r="E64" s="24">
        <v>25</v>
      </c>
      <c r="F64" s="34"/>
      <c r="G64" s="8"/>
    </row>
    <row r="65" spans="1:7" s="9" customFormat="1" ht="47.5" customHeight="1" x14ac:dyDescent="0.55000000000000004">
      <c r="A65" s="792">
        <v>2</v>
      </c>
      <c r="B65" s="804" t="s">
        <v>41</v>
      </c>
      <c r="C65" s="33" t="s">
        <v>62</v>
      </c>
      <c r="D65" s="791" t="s">
        <v>42</v>
      </c>
      <c r="E65" s="24">
        <v>10</v>
      </c>
      <c r="F65" s="34" t="s">
        <v>43</v>
      </c>
      <c r="G65" s="8"/>
    </row>
    <row r="66" spans="1:7" s="9" customFormat="1" ht="47.5" customHeight="1" x14ac:dyDescent="0.55000000000000004">
      <c r="A66" s="792"/>
      <c r="B66" s="804"/>
      <c r="C66" s="33" t="s">
        <v>63</v>
      </c>
      <c r="D66" s="791"/>
      <c r="E66" s="24">
        <v>15</v>
      </c>
      <c r="F66" s="34" t="s">
        <v>44</v>
      </c>
      <c r="G66" s="8"/>
    </row>
    <row r="67" spans="1:7" s="9" customFormat="1" ht="47.5" customHeight="1" x14ac:dyDescent="0.55000000000000004">
      <c r="A67" s="792"/>
      <c r="B67" s="804"/>
      <c r="C67" s="33" t="s">
        <v>64</v>
      </c>
      <c r="D67" s="791"/>
      <c r="E67" s="24">
        <v>20</v>
      </c>
      <c r="F67" s="34" t="s">
        <v>45</v>
      </c>
      <c r="G67" s="8"/>
    </row>
    <row r="68" spans="1:7" s="9" customFormat="1" ht="47.5" customHeight="1" x14ac:dyDescent="0.55000000000000004">
      <c r="A68" s="792"/>
      <c r="B68" s="804"/>
      <c r="C68" s="33" t="s">
        <v>65</v>
      </c>
      <c r="D68" s="791"/>
      <c r="E68" s="24">
        <v>25</v>
      </c>
      <c r="F68" s="34" t="s">
        <v>46</v>
      </c>
      <c r="G68" s="8"/>
    </row>
    <row r="69" spans="1:7" s="9" customFormat="1" ht="47.5" customHeight="1" x14ac:dyDescent="0.55000000000000004">
      <c r="A69" s="792"/>
      <c r="B69" s="804"/>
      <c r="C69" s="33" t="s">
        <v>66</v>
      </c>
      <c r="D69" s="791"/>
      <c r="E69" s="24">
        <v>30</v>
      </c>
      <c r="F69" s="34" t="s">
        <v>47</v>
      </c>
      <c r="G69" s="8"/>
    </row>
    <row r="70" spans="1:7" s="9" customFormat="1" ht="34.9" customHeight="1" x14ac:dyDescent="0.55000000000000004">
      <c r="A70" s="792"/>
      <c r="B70" s="804"/>
      <c r="C70" s="33" t="s">
        <v>62</v>
      </c>
      <c r="D70" s="791" t="s">
        <v>48</v>
      </c>
      <c r="E70" s="24">
        <v>10</v>
      </c>
      <c r="F70" s="34" t="s">
        <v>49</v>
      </c>
      <c r="G70" s="8"/>
    </row>
    <row r="71" spans="1:7" s="9" customFormat="1" ht="34.9" customHeight="1" x14ac:dyDescent="0.55000000000000004">
      <c r="A71" s="792"/>
      <c r="B71" s="804"/>
      <c r="C71" s="33" t="s">
        <v>63</v>
      </c>
      <c r="D71" s="791"/>
      <c r="E71" s="24">
        <v>15</v>
      </c>
      <c r="F71" s="34" t="s">
        <v>50</v>
      </c>
      <c r="G71" s="8"/>
    </row>
    <row r="72" spans="1:7" s="9" customFormat="1" ht="34.9" customHeight="1" x14ac:dyDescent="0.55000000000000004">
      <c r="A72" s="792"/>
      <c r="B72" s="804"/>
      <c r="C72" s="33" t="s">
        <v>64</v>
      </c>
      <c r="D72" s="791"/>
      <c r="E72" s="24">
        <v>20</v>
      </c>
      <c r="F72" s="34" t="s">
        <v>51</v>
      </c>
      <c r="G72" s="8"/>
    </row>
    <row r="73" spans="1:7" s="9" customFormat="1" ht="34.9" customHeight="1" x14ac:dyDescent="0.55000000000000004">
      <c r="A73" s="792"/>
      <c r="B73" s="804"/>
      <c r="C73" s="33" t="s">
        <v>65</v>
      </c>
      <c r="D73" s="791"/>
      <c r="E73" s="24">
        <v>25</v>
      </c>
      <c r="F73" s="34"/>
      <c r="G73" s="8"/>
    </row>
    <row r="74" spans="1:7" s="9" customFormat="1" ht="34.9" customHeight="1" x14ac:dyDescent="0.55000000000000004">
      <c r="A74" s="792"/>
      <c r="B74" s="804"/>
      <c r="C74" s="33" t="s">
        <v>66</v>
      </c>
      <c r="D74" s="791"/>
      <c r="E74" s="24">
        <v>30</v>
      </c>
      <c r="F74" s="34"/>
      <c r="G74" s="8"/>
    </row>
    <row r="75" spans="1:7" x14ac:dyDescent="0.55000000000000004">
      <c r="E75" s="25"/>
    </row>
  </sheetData>
  <mergeCells count="20">
    <mergeCell ref="A9:A28"/>
    <mergeCell ref="B9:B28"/>
    <mergeCell ref="D9:D13"/>
    <mergeCell ref="D14:D18"/>
    <mergeCell ref="D19:D23"/>
    <mergeCell ref="D24:D28"/>
    <mergeCell ref="A65:A74"/>
    <mergeCell ref="B65:B74"/>
    <mergeCell ref="D65:D69"/>
    <mergeCell ref="D70:D74"/>
    <mergeCell ref="A29:A48"/>
    <mergeCell ref="B29:B48"/>
    <mergeCell ref="D29:D33"/>
    <mergeCell ref="D34:D38"/>
    <mergeCell ref="D39:D43"/>
    <mergeCell ref="A50:A64"/>
    <mergeCell ref="B50:B64"/>
    <mergeCell ref="D50:D54"/>
    <mergeCell ref="D55:D59"/>
    <mergeCell ref="D60:D6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39997558519241921"/>
  </sheetPr>
  <dimension ref="A1:G19"/>
  <sheetViews>
    <sheetView topLeftCell="A9" workbookViewId="0">
      <selection activeCell="D16" sqref="D16"/>
    </sheetView>
  </sheetViews>
  <sheetFormatPr defaultRowHeight="16.2" x14ac:dyDescent="0.55000000000000004"/>
  <cols>
    <col min="1" max="1" width="6.68359375" style="90" customWidth="1"/>
    <col min="2" max="2" width="6.83984375" style="80" customWidth="1"/>
    <col min="3" max="3" width="13.26171875" style="1" customWidth="1"/>
    <col min="4" max="4" width="66.68359375" style="14" customWidth="1"/>
    <col min="5" max="5" width="16.68359375" style="3" customWidth="1"/>
    <col min="6" max="6" width="49.83984375" style="10" customWidth="1"/>
    <col min="7" max="7" width="9.26171875" style="1" customWidth="1"/>
  </cols>
  <sheetData>
    <row r="1" spans="1:7" ht="15.9" hidden="1" x14ac:dyDescent="0.55000000000000004">
      <c r="A1" s="777" t="s">
        <v>53</v>
      </c>
      <c r="B1" s="777"/>
      <c r="C1" s="777"/>
    </row>
    <row r="2" spans="1:7" ht="15.9" hidden="1" x14ac:dyDescent="0.55000000000000004">
      <c r="A2" s="777" t="s">
        <v>52</v>
      </c>
      <c r="B2" s="777"/>
      <c r="C2" s="777"/>
    </row>
    <row r="3" spans="1:7" hidden="1" x14ac:dyDescent="0.55000000000000004"/>
    <row r="4" spans="1:7" ht="34.5" hidden="1" customHeight="1" x14ac:dyDescent="0.55000000000000004">
      <c r="A4" s="776" t="s">
        <v>54</v>
      </c>
      <c r="B4" s="776"/>
      <c r="C4" s="776"/>
      <c r="D4" s="776"/>
      <c r="E4" s="776"/>
      <c r="F4" s="776"/>
    </row>
    <row r="5" spans="1:7" ht="19.5" hidden="1" customHeight="1" x14ac:dyDescent="0.55000000000000004">
      <c r="A5" s="91"/>
      <c r="B5" s="81"/>
      <c r="C5" s="16"/>
      <c r="D5" s="15"/>
      <c r="E5" s="4"/>
      <c r="F5" s="11"/>
    </row>
    <row r="6" spans="1:7" s="89" customFormat="1" ht="45" customHeight="1" x14ac:dyDescent="0.55000000000000004">
      <c r="A6" s="88" t="s">
        <v>60</v>
      </c>
      <c r="B6" s="89" t="s">
        <v>104</v>
      </c>
      <c r="D6" s="89" t="s">
        <v>103</v>
      </c>
      <c r="E6" s="40" t="s">
        <v>61</v>
      </c>
      <c r="F6" s="89" t="s">
        <v>1</v>
      </c>
    </row>
    <row r="7" spans="1:7" s="87" customFormat="1" ht="30.75" customHeight="1" x14ac:dyDescent="0.55000000000000004">
      <c r="A7" s="92" t="s">
        <v>55</v>
      </c>
      <c r="B7" s="811">
        <f>A17</f>
        <v>4</v>
      </c>
      <c r="C7" s="812"/>
      <c r="D7" s="93">
        <f>B10+B13+B16+B19</f>
        <v>8</v>
      </c>
      <c r="E7" s="94">
        <f>E9+E13+E16</f>
        <v>60</v>
      </c>
      <c r="F7" s="95"/>
      <c r="G7" s="86"/>
    </row>
    <row r="8" spans="1:7" s="72" customFormat="1" ht="30" customHeight="1" x14ac:dyDescent="0.55000000000000004">
      <c r="A8" s="88">
        <v>1</v>
      </c>
      <c r="B8" s="813" t="s">
        <v>107</v>
      </c>
      <c r="C8" s="813"/>
      <c r="D8" s="813"/>
      <c r="E8" s="814"/>
      <c r="F8" s="808" t="s">
        <v>84</v>
      </c>
      <c r="G8" s="1"/>
    </row>
    <row r="9" spans="1:7" s="9" customFormat="1" ht="30" customHeight="1" x14ac:dyDescent="0.55000000000000004">
      <c r="A9" s="88"/>
      <c r="B9" s="82">
        <v>1</v>
      </c>
      <c r="C9" s="74" t="s">
        <v>99</v>
      </c>
      <c r="D9" s="96" t="s">
        <v>58</v>
      </c>
      <c r="E9" s="42">
        <v>25</v>
      </c>
      <c r="F9" s="809"/>
      <c r="G9" s="8"/>
    </row>
    <row r="10" spans="1:7" s="9" customFormat="1" ht="30" customHeight="1" x14ac:dyDescent="0.55000000000000004">
      <c r="A10" s="88"/>
      <c r="B10" s="83">
        <v>2</v>
      </c>
      <c r="C10" s="79" t="s">
        <v>100</v>
      </c>
      <c r="D10" s="71" t="s">
        <v>59</v>
      </c>
      <c r="E10" s="43">
        <v>10</v>
      </c>
      <c r="F10" s="809"/>
      <c r="G10" s="8"/>
    </row>
    <row r="11" spans="1:7" s="9" customFormat="1" ht="30" customHeight="1" x14ac:dyDescent="0.55000000000000004">
      <c r="A11" s="88">
        <v>2</v>
      </c>
      <c r="B11" s="806" t="s">
        <v>105</v>
      </c>
      <c r="C11" s="806"/>
      <c r="D11" s="806"/>
      <c r="E11" s="807"/>
      <c r="F11" s="809"/>
      <c r="G11" s="8"/>
    </row>
    <row r="12" spans="1:7" s="9" customFormat="1" ht="30" customHeight="1" x14ac:dyDescent="0.55000000000000004">
      <c r="A12" s="88"/>
      <c r="B12" s="82">
        <v>1</v>
      </c>
      <c r="C12" s="73" t="s">
        <v>99</v>
      </c>
      <c r="D12" s="96" t="s">
        <v>58</v>
      </c>
      <c r="E12" s="17">
        <v>35</v>
      </c>
      <c r="F12" s="809"/>
      <c r="G12" s="8"/>
    </row>
    <row r="13" spans="1:7" s="9" customFormat="1" ht="30" customHeight="1" x14ac:dyDescent="0.55000000000000004">
      <c r="A13" s="88"/>
      <c r="B13" s="84">
        <v>2</v>
      </c>
      <c r="C13" s="74" t="s">
        <v>100</v>
      </c>
      <c r="D13" s="71" t="s">
        <v>83</v>
      </c>
      <c r="E13" s="18">
        <v>15</v>
      </c>
      <c r="F13" s="809"/>
      <c r="G13" s="8"/>
    </row>
    <row r="14" spans="1:7" s="9" customFormat="1" ht="30" customHeight="1" x14ac:dyDescent="0.55000000000000004">
      <c r="A14" s="88">
        <v>3</v>
      </c>
      <c r="B14" s="806" t="s">
        <v>106</v>
      </c>
      <c r="C14" s="806"/>
      <c r="D14" s="807"/>
      <c r="E14" s="78"/>
      <c r="F14" s="809"/>
      <c r="G14" s="8"/>
    </row>
    <row r="15" spans="1:7" s="9" customFormat="1" ht="30" customHeight="1" x14ac:dyDescent="0.55000000000000004">
      <c r="A15" s="88"/>
      <c r="B15" s="82">
        <v>1</v>
      </c>
      <c r="C15" s="74" t="s">
        <v>99</v>
      </c>
      <c r="D15" s="75" t="s">
        <v>4</v>
      </c>
      <c r="E15" s="17">
        <v>45</v>
      </c>
      <c r="F15" s="809"/>
      <c r="G15" s="8"/>
    </row>
    <row r="16" spans="1:7" s="9" customFormat="1" ht="30" customHeight="1" x14ac:dyDescent="0.55000000000000004">
      <c r="A16" s="88"/>
      <c r="B16" s="85">
        <v>2</v>
      </c>
      <c r="C16" s="76" t="s">
        <v>100</v>
      </c>
      <c r="D16" s="77" t="s">
        <v>5</v>
      </c>
      <c r="E16" s="18">
        <v>20</v>
      </c>
      <c r="F16" s="809"/>
      <c r="G16" s="8"/>
    </row>
    <row r="17" spans="1:7" s="9" customFormat="1" ht="30" customHeight="1" x14ac:dyDescent="0.55000000000000004">
      <c r="A17" s="88">
        <v>4</v>
      </c>
      <c r="B17" s="806" t="s">
        <v>82</v>
      </c>
      <c r="C17" s="806"/>
      <c r="D17" s="807"/>
      <c r="E17" s="78"/>
      <c r="F17" s="809"/>
      <c r="G17" s="8"/>
    </row>
    <row r="18" spans="1:7" s="9" customFormat="1" ht="30" customHeight="1" x14ac:dyDescent="0.55000000000000004">
      <c r="A18" s="88"/>
      <c r="B18" s="82">
        <v>1</v>
      </c>
      <c r="C18" s="74" t="s">
        <v>99</v>
      </c>
      <c r="D18" s="75" t="s">
        <v>4</v>
      </c>
      <c r="E18" s="41">
        <v>50</v>
      </c>
      <c r="F18" s="809"/>
      <c r="G18" s="8"/>
    </row>
    <row r="19" spans="1:7" s="9" customFormat="1" ht="30" customHeight="1" x14ac:dyDescent="0.55000000000000004">
      <c r="A19" s="88"/>
      <c r="B19" s="85">
        <v>2</v>
      </c>
      <c r="C19" s="76" t="s">
        <v>100</v>
      </c>
      <c r="D19" s="77" t="s">
        <v>5</v>
      </c>
      <c r="E19" s="18">
        <v>25</v>
      </c>
      <c r="F19" s="810"/>
      <c r="G19" s="8"/>
    </row>
  </sheetData>
  <mergeCells count="9">
    <mergeCell ref="B17:D17"/>
    <mergeCell ref="F8:F19"/>
    <mergeCell ref="B11:E11"/>
    <mergeCell ref="B14:D14"/>
    <mergeCell ref="A1:C1"/>
    <mergeCell ref="A2:C2"/>
    <mergeCell ref="A4:F4"/>
    <mergeCell ref="B7:C7"/>
    <mergeCell ref="B8:E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924DF3BEC525498C9017DF07FE27B7" ma:contentTypeVersion="11" ma:contentTypeDescription="Create a new document." ma:contentTypeScope="" ma:versionID="047dde0ebde520ebc157a7aaa2d31a82">
  <xsd:schema xmlns:xsd="http://www.w3.org/2001/XMLSchema" xmlns:xs="http://www.w3.org/2001/XMLSchema" xmlns:p="http://schemas.microsoft.com/office/2006/metadata/properties" xmlns:ns3="0d89af42-5fbf-40bb-8788-bc36913e8715" xmlns:ns4="e728e3e1-2240-415d-a994-8482ad616d81" targetNamespace="http://schemas.microsoft.com/office/2006/metadata/properties" ma:root="true" ma:fieldsID="764051d7ccbe18c843abb3fd73d2b2c0" ns3:_="" ns4:_="">
    <xsd:import namespace="0d89af42-5fbf-40bb-8788-bc36913e8715"/>
    <xsd:import namespace="e728e3e1-2240-415d-a994-8482ad616d8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89af42-5fbf-40bb-8788-bc36913e8715"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28e3e1-2240-415d-a994-8482ad616d81"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MediaServic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3EFF96-A5F7-4525-8B2F-3B94DE552BBB}">
  <ds:schemaRefs>
    <ds:schemaRef ds:uri="http://schemas.microsoft.com/office/2006/metadata/contentType"/>
    <ds:schemaRef ds:uri="http://schemas.microsoft.com/office/2006/metadata/properties/metaAttributes"/>
    <ds:schemaRef ds:uri="http://www.w3.org/2000/xmlns/"/>
    <ds:schemaRef ds:uri="http://www.w3.org/2001/XMLSchema"/>
    <ds:schemaRef ds:uri="0d89af42-5fbf-40bb-8788-bc36913e8715"/>
    <ds:schemaRef ds:uri="e728e3e1-2240-415d-a994-8482ad616d8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34E47C-CAA7-4064-A21E-B4D7E8154E74}">
  <ds:schemaRefs>
    <ds:schemaRef ds:uri="http://schemas.microsoft.com/sharepoint/v3/contenttype/forms"/>
  </ds:schemaRefs>
</ds:datastoreItem>
</file>

<file path=customXml/itemProps3.xml><?xml version="1.0" encoding="utf-8"?>
<ds:datastoreItem xmlns:ds="http://schemas.openxmlformats.org/officeDocument/2006/customXml" ds:itemID="{CFAA1C4D-073F-4A30-9B86-21A7E658FC84}">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Tự đánh giá năng lực-ĐD KB</vt:lpstr>
      <vt:lpstr>Tiêu chuẩn năng lực - ĐDKB xong</vt:lpstr>
      <vt:lpstr>Hướng dẫn đánh giá chi tiết xon</vt:lpstr>
      <vt:lpstr>2. Tiêu chuẩn bắt buộc xong</vt:lpstr>
      <vt:lpstr>VAN BANG</vt:lpstr>
      <vt:lpstr>CHUYEN MON</vt:lpstr>
      <vt:lpstr>DAO TAO-NCKH</vt:lpstr>
      <vt:lpstr>LANH DAO&amp;QUAN LY</vt:lpstr>
      <vt:lpstr>PHÁT TRIEN CA NHAN</vt:lpstr>
      <vt:lpstr>ĐDT</vt:lpstr>
      <vt:lpstr>ĐDV</vt:lpstr>
      <vt:lpstr>THÂM NIÊN</vt:lpstr>
      <vt:lpstr>'CHUYEN MON'!Print_Area</vt:lpstr>
      <vt:lpstr>'Hướng dẫn đánh giá chi tiết xon'!Print_Area</vt:lpstr>
      <vt:lpstr>'Tiêu chuẩn năng lực - ĐDKB xong'!Print_Area</vt:lpstr>
      <vt:lpstr>'Tự đánh giá năng lực-ĐD KB'!Print_Area</vt:lpstr>
      <vt:lpstr>'VAN BANG'!Print_Area</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httlan</dc:creator>
  <cp:lastModifiedBy>Nguyen Thi Kim Quyen (Khoa TMH-CS2)</cp:lastModifiedBy>
  <cp:lastPrinted>2023-05-31T03:31:51Z</cp:lastPrinted>
  <dcterms:created xsi:type="dcterms:W3CDTF">2018-10-11T00:34:44Z</dcterms:created>
  <dcterms:modified xsi:type="dcterms:W3CDTF">2026-09-12T06:09:31Z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0x010100F8924DF3BEC525498C9017DF07FE27B7</vt:lpwstr>
  </property>
</Properties>
</file>