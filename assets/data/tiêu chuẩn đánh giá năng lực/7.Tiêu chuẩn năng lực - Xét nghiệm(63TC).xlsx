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Quyen\Desktop\tiêu chuẩn đánh giá năng lực\"/>
    </mc:Choice>
  </mc:AlternateContent>
  <xr:revisionPtr revIDLastSave="0" documentId="8_{2EE32029-457B-4C7F-B63A-A480E060872D}" xr6:coauthVersionLast="47" xr6:coauthVersionMax="47" xr10:uidLastSave="{00000000-0000-0000-0000-000000000000}"/>
  <bookViews>
    <workbookView xWindow="-96" yWindow="-96" windowWidth="17472" windowHeight="10392" activeTab="2" xr2:uid="{00000000-000D-0000-FFFF-FFFF00000000}"/>
  </bookViews>
  <sheets>
    <sheet name="2. Tiêu chuẩn bắt buộc" sheetId="4" r:id="rId1"/>
    <sheet name="4. Tiêu chuẩn năng lực - XN" sheetId="1" r:id="rId2"/>
    <sheet name="3. HD đánh giá chi tiết KTV XN" sheetId="5" r:id="rId3"/>
    <sheet name="5. Tự đánh giá năng lực - XN" sheetId="2" r:id="rId4"/>
  </sheets>
  <definedNames>
    <definedName name="_xlnm.Print_Area" localSheetId="2">'3. HD đánh giá chi tiết KTV XN'!$A$1:$K$124</definedName>
    <definedName name="_xlnm.Print_Area" localSheetId="1">'4. Tiêu chuẩn năng lực - XN'!$A:$F</definedName>
    <definedName name="_xlnm.Print_Area" localSheetId="3">'5. Tự đánh giá năng lực - XN'!#REF!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4" i="5" l="1"/>
  <c r="F79" i="5"/>
  <c r="F98" i="2" l="1"/>
  <c r="F83" i="2"/>
  <c r="F67" i="2"/>
  <c r="F106" i="1"/>
  <c r="F91" i="1"/>
  <c r="F75" i="1"/>
</calcChain>
</file>

<file path=xl/sharedStrings.xml><?xml version="1.0" encoding="utf-8"?>
<sst xmlns="http://schemas.openxmlformats.org/spreadsheetml/2006/main" count="1015" uniqueCount="531">
  <si>
    <t>Cấp 1</t>
  </si>
  <si>
    <t>Tập sự</t>
  </si>
  <si>
    <t xml:space="preserve">Chưa có khả năng truyền đạt, hướng dẫn người khác hiểu biết về một lĩnh vực chuyên môn. 
Chưa có kinh nghiệm thực hành, chỉ có khả năng thực hành theo các quy tắc hướng dẫn trong tình huống cụ thể. </t>
  </si>
  <si>
    <t>Cấp 2</t>
  </si>
  <si>
    <t>Có khả năng thực hành</t>
  </si>
  <si>
    <t>Có khả năng thực hành hiệu quả trong một số lĩnh vực chăm sóc và đôi khi cần gợi ý. 
Có khả năng tiếp nhận và đưa ra hướng xử lý phù hợp đối với những yêu cầu, thắc mắc trong phạm vi công việc được phân công.</t>
  </si>
  <si>
    <t>Cấp 3</t>
  </si>
  <si>
    <t>Đủ năng lực</t>
  </si>
  <si>
    <t>Nhận biết những mục tiêu dài hạn, tự lên kế hoạch hành động dựa trên khả năng phân tích và tổng hợp để đạt được mục tiêu. 
Sử dụng tất cả kiến thức, kinh nghiệm chuyên môn, kể cả những việc ngoài chuyên môn để đưa ra những đối sách, phương án khả thi và tốt nhất để giải quyết vấn đề. 
Tuy nhiên vẫn còn chưa chủ động.</t>
  </si>
  <si>
    <t xml:space="preserve">Cấp 4 </t>
  </si>
  <si>
    <t>Thành thạo</t>
  </si>
  <si>
    <t>Luôn chủ động tìm hiểu, phân tích, đánh giá hiện trạng, từ đó đưa ra được các giải pháp, phương án để thay đổi và cải thiện các vấn đề quan tâm. 
Có kiến thức chuyên môn sâu rộng và kinh nghiệm làm việc tối thiểu 05 năm. Luôn chủ động trong mọi việc để hỗ trợ đồng nghiệp và nhân viên của mình phát triển.</t>
  </si>
  <si>
    <t>Cấp 5</t>
  </si>
  <si>
    <t>Chuyên gia 
lâm sàng</t>
  </si>
  <si>
    <t>Có mối quan hệ rộng với các chuyên gia trong cùng lĩnh vực; chịu trách nhiệm triển khai, ứng dụng các kết quả nghiên cứu vào thực hành. 
Có khả năng phân tích, đánh giá và đề xuất hướng phát triển. Giữ vai trò quản lý trong lĩnh vực chuyên môn được phân công, chịu trách nhiệm trước lãnh đạo về hoạt động của nhóm.</t>
  </si>
  <si>
    <t>Cấp 6</t>
  </si>
  <si>
    <t>Chuyên gia 
quản lý</t>
  </si>
  <si>
    <t>Là người sáng suốt, luôn có những kế hoạch, chiến lược dài hạn, trung hạn và ngắn hạn để hoạch định hướng phát triển. Là người dám nghĩ dám làm và là người quản trị, phân tán rủi ro tốt. 
Là người mạnh mẽ, có sức khoẻ tốt và chịu được áp lực cao, cường độ làm việc căng thẳng.
Có mối quan hệ rộng và có được sự tin tưởng, công nhận từ nhiều người. Có năng lực truyền cảm hứng và tạo nên sự ảnh hưởng tốt đến những người xung quanh. 
Ngoài các năng lực chuyên môn, kinh nghiệm, còn đòi hỏi khả năng thực hiện TẦM NHÌN và SỨ MỆNH của lĩnh vực phụ trách.</t>
  </si>
  <si>
    <t>Cấp 7</t>
  </si>
  <si>
    <t>Chuyên gia 
cao cấp</t>
  </si>
  <si>
    <t>I.</t>
  </si>
  <si>
    <t>TIÊU CHUẨN BẰNG CẤP</t>
  </si>
  <si>
    <t>ĐIỂM 
TỐI ĐA</t>
  </si>
  <si>
    <t>TIÊU CHUẨN 1.
Bằng cấp chuyên môn</t>
  </si>
  <si>
    <t>Tiêu chí</t>
  </si>
  <si>
    <t>Chọn 1 đáp án phù hợp</t>
  </si>
  <si>
    <t>Chuyên khoa 1/Thạc sĩ</t>
  </si>
  <si>
    <t>Tiến sĩ</t>
  </si>
  <si>
    <t>TIÊU CHUẨN 2. 
Chứng nhận - chứng chỉ</t>
  </si>
  <si>
    <t>Trong nước ≥ 1 năm</t>
  </si>
  <si>
    <t>Nước ngoài ≥ 6 tháng</t>
  </si>
  <si>
    <t>TIÊU CHUẨN 3.
Ngoại ngữ</t>
  </si>
  <si>
    <t>TOEIC 450; IELTS 4.5; TOEFL iBT 53 hoặc tương đương</t>
  </si>
  <si>
    <t>TOEIC 600; IELTS 5.5; TOEFL iBT 65 hoặc tương đương</t>
  </si>
  <si>
    <t>TOEIC 800; IELTS 6.5; TOEFL iBT 79 hoặc tương đương</t>
  </si>
  <si>
    <t>TIÊU CHUẨN 4.
Công nghệ thông tin</t>
  </si>
  <si>
    <t>Đối với Tiêu chí 1: Ưu tiên cộng điểm nếu tốt nghiệp từ các Trường sau:</t>
  </si>
  <si>
    <t xml:space="preserve">* Mục A: </t>
  </si>
  <si>
    <t xml:space="preserve">  Đại học Y Dược TPHCM (+10)</t>
  </si>
  <si>
    <t xml:space="preserve">* Mục B: </t>
  </si>
  <si>
    <t xml:space="preserve">- Đại học Y Dược TPHCM / Đại học Quốc tế Miền Đông (+20)                             </t>
  </si>
  <si>
    <t xml:space="preserve">- Đại học nước ngoài (+30)                                                                                                                      </t>
  </si>
  <si>
    <t>(Châu Âu (trừ Đông Âu), Mỹ, Canada, New Zealand, Úc, Nhật Bản, Hàn Quốc, Singapore, Đài Loan, Malaysia)</t>
  </si>
  <si>
    <t>II.</t>
  </si>
  <si>
    <t>NĂNG LỰC CHUYÊN MÔN</t>
  </si>
  <si>
    <t>TIÊU CHUẨN 5.
Hành nghề theo pháp luật</t>
  </si>
  <si>
    <t>Tuân thủ các quy định hành nghề theo luật định liên quan đến y tế, thực hành điều dưỡng, Bộ Y tế</t>
  </si>
  <si>
    <t>TIÊU CHUẨN 6.
Hành nghề theo tiêu chuẩn đạo đức nghề nghiệp</t>
  </si>
  <si>
    <t>Quảng bá hình ảnh người điều dưỡng, thể hiện tác phong và tư cách tốt, trang phục phù hợp, lời nói thuyết phục và cách cư xử đúng mực</t>
  </si>
  <si>
    <t>Chọn 1 năng lực phù hợp nhất</t>
  </si>
  <si>
    <t>III.</t>
  </si>
  <si>
    <t>NĂNG LỰC ĐÀO TẠO
NGHIÊN CỨU KHOA HỌC
THỰC HÀNH DỰA TRÊN CHỨNG CỨ (EBP)</t>
  </si>
  <si>
    <t>ĐIỂM
TỐI ĐA</t>
  </si>
  <si>
    <t>Phân tích được mối quan hệ giữa nhu cầu đào tạo với trình độ, vị trí việc làm của đối tượng thuộc phạm vi phụ trách, xây dựng được kế hoạch đào tạo</t>
  </si>
  <si>
    <t>Đề xuất, xây dựng các phương pháp đào tạo linh động, phù hợp với hoàn cảnh đảm bảo nâng cao chất lượng đào tạo</t>
  </si>
  <si>
    <t>Tổ chức thực hiện được kế hoạch đào tạo và tham gia đào tạo theo đúng tiến độ và đạt chất lượng</t>
  </si>
  <si>
    <t>Đánh giá được hiệu quả đào tạo: thống kê, phân tích, diễn giải và báo cáo theo kế hoạch;
Có chỉ ra những nhược điểm cần khắc phục và đề xuất giải pháp cải tiến chất lượng</t>
  </si>
  <si>
    <t>Xây dựng được công cụ, phương pháp đánh giá thay đổi kiến thức của người được đào tạo và sau khi đào tạo</t>
  </si>
  <si>
    <t>Tham gia giảng dạy ít nhất 2 bài/năm/khoa hoặc 1 bài toàn bệnh viện</t>
  </si>
  <si>
    <t>Hiểu biết về các kỹ thuật nghiên cứu, khảo sát, đánh giá, áp dụng phù hợp trong chăm sóc người bệnh</t>
  </si>
  <si>
    <t>Sử dụng thành thạo công nghệ thông tin trong thu thập, phân tích số liệu (SPSS, STATA, R)</t>
  </si>
  <si>
    <t xml:space="preserve">Chủ nhiệm đề tài cấp cơ sở, có công bố trên tạp chí trong nước </t>
  </si>
  <si>
    <t>Chọn 1 thành tích cao nhất</t>
  </si>
  <si>
    <r>
      <t>Chủ nhiệm đề tài cấp cơ sở, có công bố trên tạp chí trong nước (</t>
    </r>
    <r>
      <rPr>
        <sz val="12"/>
        <color indexed="8"/>
        <rFont val="Times New Roman"/>
        <family val="1"/>
      </rPr>
      <t>≥ 2 bài/năm);
Hoặc chủ nhiệm đề tài cấp Thành phố (tính 1 lần)</t>
    </r>
  </si>
  <si>
    <t>Đăng bài báo nước ngoài 
Hoặc chủ nhiệm đề tài cấp Nhà nước</t>
  </si>
  <si>
    <t>Thực hiện nghiên cứu và có giải pháp thích hợp dựa trên kết quả nghiên cứu</t>
  </si>
  <si>
    <t>IV.</t>
  </si>
  <si>
    <t>NĂNG LỰC LÃNH ĐẠO &amp; QUẢN LÝ</t>
  </si>
  <si>
    <t>Đề xuất các thiết bị, vật tư phù hợp</t>
  </si>
  <si>
    <t>Tổ chức, triển khai thực hiện kế hoạch hiệu quả</t>
  </si>
  <si>
    <t>Có đề án cải tiến giúp bệnh viện ứng dụng hiệu quả</t>
  </si>
  <si>
    <t>Tuân thủ các tiêu chuẩn và quy tắc về an toàn lao động</t>
  </si>
  <si>
    <t>Tuân thủ quy định dự phòng phơi nhiễm với các tác nhân gây bệnh và biết được phương pháp xử lý</t>
  </si>
  <si>
    <t>Tuân thủ các quy trình an toàn phòng cháy chữa cháy và các trường hợp khẩn cấp khác</t>
  </si>
  <si>
    <t>V.</t>
  </si>
  <si>
    <t>PHÁT TRIỂN
CHUYÊN MÔN CÁ NHÂN &amp; CHẤT LƯỢNG</t>
  </si>
  <si>
    <t>Xác định rõ mục tiêu, nguyện vọng phát triển nghề nghiệp và biết được điểm mạnh và yếu của bản thân</t>
  </si>
  <si>
    <t>Chủ động tham gia tích cực đầy đủ hoạt động đào tạo liên tục của bệnh viện cấp khoa, cấp bệnh viện để liên tục nâng cao kiến thức và kỹ năng</t>
  </si>
  <si>
    <t>Có thái độ tích cực với những đổi mới, quan điểm trái chiều, thể hiện sự lắng nghe các kiến nghị và các đề xuất, thử nghiệm các phương pháp mới</t>
  </si>
  <si>
    <t>Hỗ trợ tích cực, đóng góp vào việc đào tạo, nâng cao trình độ, phát triển nghề nghiệp cho đồng nghiệp</t>
  </si>
  <si>
    <t>Tiếp nhận, báo cáo, đưa ra biện pháp khắc phục hiệu quả</t>
  </si>
  <si>
    <t>Dựa trên các tìm kiếm về vấn đề tồn tại của chuyên môn và hành chánh, đưa giải pháp cải tiến phù hợp, hiệu quả</t>
  </si>
  <si>
    <t>Xây dựng kế hoạch làm việc cho cá nhân hiệu quả và khoa học</t>
  </si>
  <si>
    <t>Xác định khối lượng công việc và có cách sắp xếp theo thứ tự ưu tiên một cách hiệu quả, hợp lý</t>
  </si>
  <si>
    <t>BV hạng đặc biệt, hạng 1</t>
  </si>
  <si>
    <t>≤ 5 
năm</t>
  </si>
  <si>
    <t>BV hạng 2, 3</t>
  </si>
  <si>
    <t>6-9 
năm</t>
  </si>
  <si>
    <t>BV hạng 2</t>
  </si>
  <si>
    <t>10-15 năm</t>
  </si>
  <si>
    <t xml:space="preserve">&gt; 15 năm </t>
  </si>
  <si>
    <t>* Sự trải nghiệm nghề nghiệp được tính bằng số năm phù hợp với Bằng cấp đã chọn ở Tiêu chí 1</t>
  </si>
  <si>
    <t xml:space="preserve">* Trước thời điểm được tuyển dụng (theo năm) được tính theo công thức: </t>
  </si>
  <si>
    <t xml:space="preserve">- Đối với bằng cấp Trung học/Cao đẳng (Tiêu chí 1): </t>
  </si>
  <si>
    <t>Bậc lương nhận việc (theo 9 mức độ) x 2</t>
  </si>
  <si>
    <t xml:space="preserve">- Đối với bằng cấp Đại học/Sau đại học (Tiêu chí 1 và 2): </t>
  </si>
  <si>
    <t>Bậc lương nhận việc (theo 9 mức độ) x 3</t>
  </si>
  <si>
    <t>CẤP 5</t>
  </si>
  <si>
    <t>BỆNH VIỆN ĐẠI HỌC Y DƯỢC TPHCM</t>
  </si>
  <si>
    <t xml:space="preserve">              PHÒNG ĐIỀU DƯỠNG</t>
  </si>
  <si>
    <t xml:space="preserve">TOEIC 450; IELTS 4.5; TOEFL iBT 53 </t>
  </si>
  <si>
    <t>TOEIC 600; IELTS 5.5; TOEFL iBT 65</t>
  </si>
  <si>
    <t>TOEIC 800; IELTS 6.5; TOEFL iBT 79</t>
  </si>
  <si>
    <t>TIÊU CHUẨN 4.
Tin học</t>
  </si>
  <si>
    <t>Xử lý văn bản, bảng tính cơ bản</t>
  </si>
  <si>
    <t>Xử lý văn bản, bảng tính nâng cao; sử dụng thành thạo phần mềm trình chiếu</t>
  </si>
  <si>
    <t>Tuân thủ các quy định tại cơ sở làm việc</t>
  </si>
  <si>
    <t>Thực hiện tốt quy tắc ứng xử của tổ chức và luật định</t>
  </si>
  <si>
    <t>chọn 1 năng lực phù hợp nhất</t>
  </si>
  <si>
    <t>NĂNG LỰC ĐÀO TẠO
 NGHIÊN CỨU KHOA HỌC
THỰC HÀNH DỰA TRÊN CHỨNG CỨ (EBP)</t>
  </si>
  <si>
    <t>Đăng bài báo nước ngoài 
Hoặc chủ nhiệm đề tài cấp nhà nước</t>
  </si>
  <si>
    <t>Đề xuất các thiết bị, vật tư phù hợp;</t>
  </si>
  <si>
    <t xml:space="preserve"> Lập kế hoạch bảo quản TTB, vật tư 1 cách hiệu quả</t>
  </si>
  <si>
    <t>Thiết bị các nội dung liên quan đến sức khỏe nghề nghiệp và luật pháp về an toàn lao động</t>
  </si>
  <si>
    <t>PHÁT TRIỂN 
CHUYÊN MÔN CÁ NHÂN &amp; CHẤT LƯỢNG</t>
  </si>
  <si>
    <t>Hiểu được sự cần thiết về các hoạt động đảm bảo chất lượng thông qua nghiên cứu, phản hồi, đánh giá thực hành</t>
  </si>
  <si>
    <t>Xác định khối lượng công việc và có cách sắp xếp theo thứ tự ưu tiên 1 cách hiệu quả, hợp lý</t>
  </si>
  <si>
    <t>Tổ chức, điều phối, phân công và ủy quyền nhiệm vụ cho các thành viên của nhóm chăm sóc một cách khoa học, hợp lý, hiệu quả</t>
  </si>
  <si>
    <t>≤ 5 năm</t>
  </si>
  <si>
    <t>6-9 năm</t>
  </si>
  <si>
    <t>TIÊU CHUẨN BẮT BUỘC</t>
  </si>
  <si>
    <t>TIÊU CHUẨN</t>
  </si>
  <si>
    <t>Cấp 1*</t>
  </si>
  <si>
    <t>Cấp 2*</t>
  </si>
  <si>
    <t>Cấp 4</t>
  </si>
  <si>
    <t>Chuyên gia lâm sàng</t>
  </si>
  <si>
    <t>Chuyên gia quản lý</t>
  </si>
  <si>
    <t>Chuyên gia cao cấp</t>
  </si>
  <si>
    <t>5 LĨNH VỰC</t>
  </si>
  <si>
    <r>
      <t xml:space="preserve">TIÊU CHUẨN BẰNG CẤP
</t>
    </r>
    <r>
      <rPr>
        <i/>
        <sz val="11"/>
        <color indexed="8"/>
        <rFont val="Times New Roman"/>
        <family val="1"/>
      </rPr>
      <t>(Chuyên ngành công tác)</t>
    </r>
  </si>
  <si>
    <t>Trung học trở lên</t>
  </si>
  <si>
    <t>Cử nhân trở lên</t>
  </si>
  <si>
    <t>Thạc sĩ hoặc tương đương trở lên</t>
  </si>
  <si>
    <t>TRẢI NGHIỆM NGHỀ NGHIỆP</t>
  </si>
  <si>
    <t>Lâm sàng</t>
  </si>
  <si>
    <t>≤ 18 tháng</t>
  </si>
  <si>
    <t>Trên 18 tháng - 5 năm</t>
  </si>
  <si>
    <t>5 - 10 năm</t>
  </si>
  <si>
    <t>10 năm trở lên</t>
  </si>
  <si>
    <t>05 năm trở lên</t>
  </si>
  <si>
    <t>Giảng dạy/ Quản lý</t>
  </si>
  <si>
    <t xml:space="preserve"> </t>
  </si>
  <si>
    <t>ĐÀO TẠO - NCKH</t>
  </si>
  <si>
    <t>Tham gia giảng dạy ít nhất 2 bài/năm/khoa hoặc 1 bài toàn viện
Chủ nhiệm đề tài cấp cơ sở, đăng tạp chí trong nước</t>
  </si>
  <si>
    <t>Tham gia giảng dạy ít nhất 2 bài/năm/khoa hoặc 1 bài toàn viện
Chủ nhiệm 2 đề cơ sở/ 1 đề tài cấp thành phố, đăng tạp chí trong nước</t>
  </si>
  <si>
    <t>Tham gia giảng dạy ít nhất 2 bài/năm/khoa hoặc 1 bài toàn viện
Chủ nhiệm đề tài cấp nhà nước/đăng bài báo nước ngoài</t>
  </si>
  <si>
    <t>Tham gia giảng dạy ít nhất 2 bài/năm/khoa hoặc 1 bài toàn viện
Chủ nhiệm đề tài cấp nhà nước/đăng bài báo nước ngoài
Có những đóng góp lớn cho ngành ĐDVN</t>
  </si>
  <si>
    <t>ĐIỂM THI TB</t>
  </si>
  <si>
    <r>
      <rPr>
        <sz val="14"/>
        <rFont val="Calibri"/>
        <family val="2"/>
      </rPr>
      <t>≥</t>
    </r>
    <r>
      <rPr>
        <sz val="14"/>
        <rFont val="Times New Roman"/>
        <family val="1"/>
      </rPr>
      <t xml:space="preserve"> 7 Điểm</t>
    </r>
  </si>
  <si>
    <t>Ghi chú: 1* và 2*: Bằng cấp trung học chỉ áp dụng đến năm 2025</t>
  </si>
  <si>
    <t>CẤP 1</t>
  </si>
  <si>
    <t>CẤP 2</t>
  </si>
  <si>
    <t>CẤP 3</t>
  </si>
  <si>
    <t>CẤP 4</t>
  </si>
  <si>
    <t>CẤP 6</t>
  </si>
  <si>
    <t>CẤP 7</t>
  </si>
  <si>
    <t>TIEU CHUẨN BẰNG CẤP</t>
  </si>
  <si>
    <t>THỰC HÀNH CHĂM SÓC NB</t>
  </si>
  <si>
    <t>ĐÀO TẠO &amp; NCKH</t>
  </si>
  <si>
    <t>LÃNH ĐẠO &amp; QUẢN LÝ</t>
  </si>
  <si>
    <t>PHAT TRIỂN CHUYÊN MÔN CÁ NHÂN &amp; CHÂT LƯỢNG</t>
  </si>
  <si>
    <t>ĐIỂM TỔNG (Tối thiểu)</t>
  </si>
  <si>
    <t>Cao đẳng/Trung học ĐD từ ĐH Nguyễn Tất Thành, trường khác</t>
  </si>
  <si>
    <t>TIÊU CHUẨN 2. 
Chứng nhận
 - chứng chỉ</t>
  </si>
  <si>
    <t>Tiêu chí 3</t>
  </si>
  <si>
    <t>Tiêu chí 4</t>
  </si>
  <si>
    <t>Tiêu chí 5</t>
  </si>
  <si>
    <t>Tiêu chí 6</t>
  </si>
  <si>
    <t>ĐH Quốc tế Hồng Bàng</t>
  </si>
  <si>
    <t>ĐH Y Hà Nội, ĐH Y khoa Phạm Ngọc Thạch, ĐH Yersin</t>
  </si>
  <si>
    <t>ĐH Quốc tế Miền Đông</t>
  </si>
  <si>
    <t>Đại học Y Dược TPHCM</t>
  </si>
  <si>
    <t>NĂNG LỰC THỰC HÀNH CHĂM SÓC NGƯỜI BỆNH</t>
  </si>
  <si>
    <t>5 mức độ  của điểm tổng</t>
  </si>
  <si>
    <t>Mức 1</t>
  </si>
  <si>
    <t>Mức 2</t>
  </si>
  <si>
    <t>Mức 3</t>
  </si>
  <si>
    <t>Mức 4</t>
  </si>
  <si>
    <t>Mức 5</t>
  </si>
  <si>
    <r>
      <t xml:space="preserve">Tuân thủ các quy định tại cơ sở làm việc
</t>
    </r>
    <r>
      <rPr>
        <i/>
        <sz val="13"/>
        <color indexed="8"/>
        <rFont val="Times New Roman"/>
        <family val="1"/>
      </rPr>
      <t>- Có mặt tại nơi làm việc
- Tuân thủ thời gian làm việc
- Tuân thủ quy định đồng phục, bảng tên
- Tham gia hội họp, sinh hoạt tập thể 
- Ý thức bảo vệ tài sản tại đơn vị/BV</t>
    </r>
  </si>
  <si>
    <t>4 lần vi phạm
(1 điểm)</t>
  </si>
  <si>
    <t>3 lần vi phạm
(2 điểm)</t>
  </si>
  <si>
    <t>2 lần vi phạm
(3 điểm)</t>
  </si>
  <si>
    <t>1 lần vi phạm
(4 điểm)</t>
  </si>
  <si>
    <t>0 lần vi phạm
(5 điểm)</t>
  </si>
  <si>
    <r>
      <t xml:space="preserve">Thực hiện tốt quy tắc ứng xử của tổ chức và luật định 
</t>
    </r>
    <r>
      <rPr>
        <i/>
        <sz val="13"/>
        <color indexed="8"/>
        <rFont val="Times New Roman"/>
        <family val="1"/>
      </rPr>
      <t>- Sự phối hợp, hợp tác với đồng nghiệp
- Ứng xử với đồng nghiệp
- Giao tiếp với khách hàng/NB</t>
    </r>
  </si>
  <si>
    <t>Phối hợp với đồng nghiệp nhưng chưa chủ động hoặc do được yêu cầu
Quan hệ, giao tiếp tốt với đồng nghiệp, NB
(3 điểm)</t>
  </si>
  <si>
    <t>Chủ động phối hợp với đồng nghiệp để giải quyết công việc
Hòa nhã, vui vẻ, sẵn sàng hỗ trợ với đồng nghiệp, khách hàng/NB
(4 điểm)</t>
  </si>
  <si>
    <t>Phối hợp công việc 1 cách nhanh nhẹn, hiệu quả
Ứng xử nhanh nhẹn, giải quyết mọi vấn đề, quan hệ tốt với đồng nghiệp trong và ngoài đơn vị
Giao tiếp tốt với NB, chăm sóc được NB khó tính
(5 điểm)</t>
  </si>
  <si>
    <r>
      <t xml:space="preserve">- Phân tích được mối quan hệ giữa nhu cầu đào tạo với trình độ, vị trí việc làm của đối tượng thuộc phạm vi phụ trách </t>
    </r>
    <r>
      <rPr>
        <b/>
        <sz val="13"/>
        <color indexed="8"/>
        <rFont val="Times New Roman"/>
        <family val="1"/>
      </rPr>
      <t>(5 điểm)</t>
    </r>
    <r>
      <rPr>
        <sz val="13"/>
        <color indexed="8"/>
        <rFont val="Times New Roman"/>
        <family val="1"/>
      </rPr>
      <t xml:space="preserve">
</t>
    </r>
  </si>
  <si>
    <r>
      <t xml:space="preserve">Cần sự hướng dẫn trong tìm hiểu, phân tích mối tương quan giữa nhu cầu đào tạo với trình độ, vị trí làm việc;
</t>
    </r>
    <r>
      <rPr>
        <sz val="13"/>
        <color indexed="8"/>
        <rFont val="Times New Roman"/>
        <family val="1"/>
      </rPr>
      <t>(3 điểm)</t>
    </r>
  </si>
  <si>
    <r>
      <t xml:space="preserve">Thực hiện và báo cáo kết quả khảo sát, nghiên cứu mối quan hệ giữa nhu cầu đào tạo với trình độ, vị trí làm việc
</t>
    </r>
    <r>
      <rPr>
        <sz val="13"/>
        <color indexed="8"/>
        <rFont val="Times New Roman"/>
        <family val="1"/>
      </rPr>
      <t>(4 điểm)</t>
    </r>
  </si>
  <si>
    <r>
      <t xml:space="preserve">Thực hiện và báo cáo kết quả khảo sát, nghiên cứu mối quan hệ giữa nhu cầu đào tạo với trình độ, vị trí làm việc;
Đề xuất được các giải pháp dựa trên kết quả báo cáo.
</t>
    </r>
    <r>
      <rPr>
        <sz val="13"/>
        <color indexed="8"/>
        <rFont val="Times New Roman"/>
        <family val="1"/>
      </rPr>
      <t>(5 điểm)</t>
    </r>
  </si>
  <si>
    <t>- Xây dựng được kế hoạch đào tạo (5 điểm)</t>
  </si>
  <si>
    <r>
      <t xml:space="preserve">Cần sự hỗ trợ trong xây dựng kế hoạch đào tạo;
Nội dung đào tạo chỉ đáp ứng được 2 trong các tiêu chí sau:
- Mục tiêu cụ thể
- Đo lường được
- Có thể đạt được
- Thực tế
</t>
    </r>
    <r>
      <rPr>
        <sz val="13"/>
        <color indexed="8"/>
        <rFont val="Times New Roman"/>
        <family val="1"/>
      </rPr>
      <t>(3 điểm)</t>
    </r>
  </si>
  <si>
    <r>
      <t xml:space="preserve">Độc lập xây dựng kế hoạch đào tạo. 
Nội dung đào tạo đáp ứng được các tiêu chí sau:
- Mục tiêu cụ thể
- Đo lường được
- Có thể đạt được
- Thực tế
</t>
    </r>
    <r>
      <rPr>
        <sz val="13"/>
        <color indexed="8"/>
        <rFont val="Times New Roman"/>
        <family val="1"/>
      </rPr>
      <t>(4 điểm)</t>
    </r>
  </si>
  <si>
    <r>
      <t xml:space="preserve">Lập kế hoạch đào tạo đáp ứng 
đáp ứng được các tiêu chí sau:
- Mục tiêu cụ thể
- Đo lường được
- Có thể đạt được
- Thực tế
Có phân tích, diễn giải các nội dung kế hoạch đào tạo dựa vào bằng chứng
</t>
    </r>
    <r>
      <rPr>
        <sz val="13"/>
        <color indexed="8"/>
        <rFont val="Times New Roman"/>
        <family val="1"/>
      </rPr>
      <t xml:space="preserve">(5 điểm)
</t>
    </r>
  </si>
  <si>
    <r>
      <t xml:space="preserve">Cần sự hỗ trợ trong xây dựng phương pháp đào tạo phù hợp với yêu cầu của nội dung đào tạo.
</t>
    </r>
    <r>
      <rPr>
        <sz val="13"/>
        <color indexed="8"/>
        <rFont val="Times New Roman"/>
        <family val="1"/>
      </rPr>
      <t xml:space="preserve"> (6 điểm)  
</t>
    </r>
  </si>
  <si>
    <r>
      <t xml:space="preserve">Có phương pháp đào tạo phù hợp với nội dung, yêu cầu của nội dung đào tạo.
Vận dụng được phương pháp đào tạo phù hợp với hoàn cảnh đào tạo. </t>
    </r>
    <r>
      <rPr>
        <sz val="13"/>
        <color indexed="8"/>
        <rFont val="Times New Roman"/>
        <family val="1"/>
      </rPr>
      <t>(8 điểm)</t>
    </r>
  </si>
  <si>
    <r>
      <t xml:space="preserve">Có sự thay đổi thường xuyên các chương trình, nội dung đào tạo hàng năm
Vận dụng đa dạng trên ba phương pháp đào tạo phù hợp với yêu cầu của nội dung đào tạo  </t>
    </r>
    <r>
      <rPr>
        <sz val="13"/>
        <color indexed="8"/>
        <rFont val="Times New Roman"/>
        <family val="1"/>
      </rPr>
      <t>(10 điểm)</t>
    </r>
  </si>
  <si>
    <t>Tổ chức thực hiện được kế hoạch đào tạo và tham gia đào tạo theo đúng tiến độ và đạt chất lượng:
-Kế hoạch đào tạo, tham gia đào tạo theo đúng tiến độ (5đ)
-Kế hoạch đào tạo đạt chất lượng (5đ)</t>
  </si>
  <si>
    <r>
      <t xml:space="preserve">Cần sự hỗ trợ, hoặc giám sát tiến độ thực hiện kế hoạch đào tạo;
Có  dưới 2 chương trình  đào tạo trễ hạn dưới 1 tháng so với kế hoạch năm
</t>
    </r>
    <r>
      <rPr>
        <sz val="13"/>
        <color indexed="8"/>
        <rFont val="Times New Roman"/>
        <family val="1"/>
      </rPr>
      <t>(3 điểm)</t>
    </r>
  </si>
  <si>
    <r>
      <t xml:space="preserve">Độc lập theo dõi kế hoạch đào tạo, tổ chức đào tạo đúng tiến độ;
Không có chương trình trễ hạn.
</t>
    </r>
    <r>
      <rPr>
        <sz val="13"/>
        <color indexed="8"/>
        <rFont val="Times New Roman"/>
        <family val="1"/>
      </rPr>
      <t>(4 điểm)</t>
    </r>
  </si>
  <si>
    <r>
      <t xml:space="preserve">Biết phối hợp nhiều phương pháp, kỹ năng theo dõi kế hoạch đào tạo, tổ chức đào tạo đúng tiến độ;
Hoàn thành các nội dung, chương trình đào tạo sớm hơn tiến độ trong kế hoạch đề ra
</t>
    </r>
    <r>
      <rPr>
        <sz val="13"/>
        <color indexed="8"/>
        <rFont val="Times New Roman"/>
        <family val="1"/>
      </rPr>
      <t>(5 điểm)</t>
    </r>
  </si>
  <si>
    <r>
      <t xml:space="preserve">Cần hướng dẫn trong xây dựng nội dung kế hoạch, chương trình đào tạo để đạt yêu cầu thẩm định nội dung. 
</t>
    </r>
    <r>
      <rPr>
        <sz val="13"/>
        <color indexed="8"/>
        <rFont val="Times New Roman"/>
        <family val="1"/>
      </rPr>
      <t>(3 điểm)</t>
    </r>
  </si>
  <si>
    <r>
      <t xml:space="preserve">Kế hoạch, chương trình đào tạo đạt yêu cầu thẩm định nội dung. 
Có công cụ, phương pháp đánh giá chất lượng thông qua đo lường kiến thức / thái độ / kỹ năng của học viên sau đào tạo 
</t>
    </r>
    <r>
      <rPr>
        <sz val="13"/>
        <color indexed="8"/>
        <rFont val="Times New Roman"/>
        <family val="1"/>
      </rPr>
      <t>(4 điểm)</t>
    </r>
  </si>
  <si>
    <r>
      <t xml:space="preserve">Kế hoạch, chương trình đào tạo đạt yêu cầu thẩm định nội dung. 
Có đánh giá chất lượng và báo cáo kết quả thông qua đo lường kiến thức / thái độ / kỹ năng của học viên sau đào tạo 
Kế hoạch đào tạo có tác động thay đổi đến kiến thức / thực hành / trình độ của nguồn nhân lực 
</t>
    </r>
    <r>
      <rPr>
        <sz val="13"/>
        <color indexed="8"/>
        <rFont val="Times New Roman"/>
        <family val="1"/>
      </rPr>
      <t>(5 điểm)</t>
    </r>
  </si>
  <si>
    <r>
      <t xml:space="preserve">Đánh giá được hiệu quả đào tạo: thống kê, phân tích, diễn giải và báo cáo theo kế hoạch;
Có chỉ ra những nhược điểm khắc cần khắc phục và đề xuất giải pháp cải tiến chất lượng
</t>
    </r>
    <r>
      <rPr>
        <i/>
        <sz val="13"/>
        <color indexed="8"/>
        <rFont val="Times New Roman"/>
        <family val="1"/>
      </rPr>
      <t>(-Thống kê, phân tích, diễn giải và báo cáo theo kế hoạch (5đ)
-Cải tiến chất lượng đào tạo (5đ))</t>
    </r>
  </si>
  <si>
    <r>
      <t xml:space="preserve">Cần hướng dẫn trong đánh giá, đo lường hiệu quả trước &amp; sau đào tạo;
</t>
    </r>
    <r>
      <rPr>
        <sz val="13"/>
        <color indexed="8"/>
        <rFont val="Times New Roman"/>
        <family val="1"/>
      </rPr>
      <t>(3 điểm)</t>
    </r>
  </si>
  <si>
    <r>
      <t xml:space="preserve">Độc lập đánh giá, đo lường và báo cáo hiệu quả trước &amp; sau đào tạo;
Cần sự hướng dẫn trong phân tích, diễn giải kết quả đo lường.
</t>
    </r>
    <r>
      <rPr>
        <sz val="13"/>
        <color indexed="8"/>
        <rFont val="Times New Roman"/>
        <family val="1"/>
      </rPr>
      <t>(4 điểm)</t>
    </r>
  </si>
  <si>
    <r>
      <t xml:space="preserve">Biết cách vận dụng nhiều kỹ năng đánh giá, đo lường và báo cáo hiệu quả trước &amp; sau đào tạo;
Đưa ra được phân tích, diễn giải kết quả đo lường, thống kê
</t>
    </r>
    <r>
      <rPr>
        <sz val="13"/>
        <color indexed="8"/>
        <rFont val="Arial"/>
        <family val="2"/>
      </rPr>
      <t>(5 điểm)</t>
    </r>
  </si>
  <si>
    <r>
      <t xml:space="preserve">Đưa ra được điểm yếu từ kết quả đánh giá.
Cần hướng dẫn trong lập kế hoạch cải tiến chất lượng đào tạo.
</t>
    </r>
    <r>
      <rPr>
        <sz val="13"/>
        <color indexed="8"/>
        <rFont val="Times New Roman"/>
        <family val="1"/>
      </rPr>
      <t>(3 điểm)</t>
    </r>
  </si>
  <si>
    <r>
      <t xml:space="preserve">Diễn giải, phân tích được điểm mạnh và điểm yếu từ kết quả đánh giá.
Lập kế hoạch cải tiến chất lượng đào tạo.
</t>
    </r>
    <r>
      <rPr>
        <sz val="13"/>
        <color indexed="8"/>
        <rFont val="Times New Roman"/>
        <family val="1"/>
      </rPr>
      <t>(4 điểm)</t>
    </r>
  </si>
  <si>
    <r>
      <t xml:space="preserve">Phân tích được điểm mạnh  và điểm yếu từ kết quả đánh giá đào tạo.
Thực hiện kế hoạch, đánh giá và báo cáo kết quả cải tiến chất lượng đào tạo.
</t>
    </r>
    <r>
      <rPr>
        <sz val="13"/>
        <color indexed="8"/>
        <rFont val="Arial"/>
        <family val="2"/>
      </rPr>
      <t>(5 điểm)</t>
    </r>
  </si>
  <si>
    <r>
      <t>Cần sự hướng dẫn liên tục, thường xuyên trong việc tìm, xây dựng công cụ, phương pháp đánh giá kiến thức của học viên.</t>
    </r>
    <r>
      <rPr>
        <sz val="13"/>
        <color indexed="8"/>
        <rFont val="Times New Roman"/>
        <family val="1"/>
      </rPr>
      <t xml:space="preserve">
(3 điểm)</t>
    </r>
  </si>
  <si>
    <r>
      <t xml:space="preserve">Độc lập đưa ra được công cụ, phương pháp trong đánh giá kiến thức của học viên, viên chức trước &amp; sau đào tạo. 
Ứng dụng một phương pháp, công cụ đánh giá kiến thức học viên.
</t>
    </r>
    <r>
      <rPr>
        <sz val="13"/>
        <color indexed="8"/>
        <rFont val="Times New Roman"/>
        <family val="1"/>
      </rPr>
      <t>(4 điểm)</t>
    </r>
  </si>
  <si>
    <r>
      <t xml:space="preserve">Tự tin, thành thạo trong  áp dụng công cụ, phương pháp đánh giá kiến thức của học viên, viên chức trước &amp; sau đào tạo.
Vận dụng trên hai công cụ đánh giá, đo lường kiến thức học viên.
Giải thích được cơ sở khoa học cho phương pháp đánh giá.
</t>
    </r>
    <r>
      <rPr>
        <sz val="13"/>
        <color indexed="8"/>
        <rFont val="Times New Roman"/>
        <family val="1"/>
      </rPr>
      <t>(5 điểm)</t>
    </r>
  </si>
  <si>
    <r>
      <t xml:space="preserve">có tham gia  </t>
    </r>
    <r>
      <rPr>
        <sz val="13"/>
        <rFont val="Wingdings 3"/>
        <family val="1"/>
        <charset val="2"/>
      </rPr>
      <t>"</t>
    </r>
    <r>
      <rPr>
        <sz val="13"/>
        <rFont val="Times New Roman"/>
        <family val="1"/>
      </rPr>
      <t xml:space="preserve"> đạt 5 điểm</t>
    </r>
  </si>
  <si>
    <r>
      <t xml:space="preserve">Có tham gia NCKH với vai trò đối tượng lấy mẫu
</t>
    </r>
    <r>
      <rPr>
        <sz val="13"/>
        <color indexed="8"/>
        <rFont val="Times New Roman"/>
        <family val="1"/>
      </rPr>
      <t>(2 điểm)</t>
    </r>
  </si>
  <si>
    <r>
      <t xml:space="preserve">Có được đào tạo cơ bản về NCKH và tham gia NCKH với vai trò người đi lấy mẫu
</t>
    </r>
    <r>
      <rPr>
        <sz val="13"/>
        <color indexed="8"/>
        <rFont val="Times New Roman"/>
        <family val="1"/>
      </rPr>
      <t>(6 điểm)</t>
    </r>
  </si>
  <si>
    <r>
      <t xml:space="preserve">Có chứng chỉ/ chứng nhận đào tạo chuyên về NCKH và là thành viên của nhóm thực hiện đề tài NCKH 
</t>
    </r>
    <r>
      <rPr>
        <sz val="13"/>
        <color indexed="8"/>
        <rFont val="Times New Roman"/>
        <family val="1"/>
      </rPr>
      <t>(8 điểm)</t>
    </r>
  </si>
  <si>
    <r>
      <t xml:space="preserve">Tham gia viết đề cương nghiên cứu khoa học
</t>
    </r>
    <r>
      <rPr>
        <sz val="13"/>
        <color indexed="8"/>
        <rFont val="Times New Roman"/>
        <family val="1"/>
      </rPr>
      <t>(10 điểm)</t>
    </r>
  </si>
  <si>
    <r>
      <t xml:space="preserve">Biết cách tìm và trích dẫn tài liệu liên quan đến nghiên cứu có giá trị
</t>
    </r>
    <r>
      <rPr>
        <sz val="13"/>
        <color indexed="8"/>
        <rFont val="Times New Roman"/>
        <family val="1"/>
      </rPr>
      <t>(4 điểm)</t>
    </r>
  </si>
  <si>
    <r>
      <t xml:space="preserve">Biết sử dụng thành thạo phần mềm nhập liệu và phân tích số liệu (SPSS, STATA, R, …) 
</t>
    </r>
    <r>
      <rPr>
        <sz val="13"/>
        <color indexed="8"/>
        <rFont val="Times New Roman"/>
        <family val="1"/>
      </rPr>
      <t>(8 điểm)</t>
    </r>
  </si>
  <si>
    <r>
      <t xml:space="preserve">Có khả năng hướng dẫn các phần mềm nhập liệu và phân tích số liệu trong  NCKH
</t>
    </r>
    <r>
      <rPr>
        <sz val="13"/>
        <color indexed="8"/>
        <rFont val="Times New Roman"/>
        <family val="1"/>
      </rPr>
      <t>(10 điểm)</t>
    </r>
  </si>
  <si>
    <r>
      <t xml:space="preserve">Có tham gia NCKH với vai trò là người hỗ trợ chính/ Thư ký đề tài đã được phê duyệt đề cương và đang thực hiện
</t>
    </r>
    <r>
      <rPr>
        <sz val="13"/>
        <color indexed="8"/>
        <rFont val="Times New Roman"/>
        <family val="1"/>
      </rPr>
      <t>(2 điểm)</t>
    </r>
  </si>
  <si>
    <r>
      <t xml:space="preserve">Là chủ nhiệm đề tài NCKH đã được phê duyệt đề cương và đang thực hiện.
</t>
    </r>
    <r>
      <rPr>
        <sz val="13"/>
        <color indexed="8"/>
        <rFont val="Times New Roman"/>
        <family val="1"/>
      </rPr>
      <t>(4 điểm)</t>
    </r>
  </si>
  <si>
    <r>
      <t xml:space="preserve">Là chủ nhiệm đề tài NCKH đã được công nhận 
</t>
    </r>
    <r>
      <rPr>
        <sz val="13"/>
        <color indexed="8"/>
        <rFont val="Times New Roman"/>
        <family val="1"/>
      </rPr>
      <t>(6 điểm)</t>
    </r>
  </si>
  <si>
    <r>
      <t xml:space="preserve">Là chủ nhiệm đề tài NCKH cấp cơ sở được công nhận và công bố trên tạp chí có số ISSN trong nước trong vòng 3 năm.
</t>
    </r>
    <r>
      <rPr>
        <sz val="13"/>
        <color indexed="8"/>
        <rFont val="Times New Roman"/>
        <family val="1"/>
      </rPr>
      <t>(8 điểm)</t>
    </r>
  </si>
  <si>
    <r>
      <t xml:space="preserve">Là chủ nhiệm đề tài NCKH cấp cơ sở được công nhận và công bố trên tạp chí có số ISSN trong nước trong vòng 1 năm.
</t>
    </r>
    <r>
      <rPr>
        <sz val="13"/>
        <color indexed="8"/>
        <rFont val="Times New Roman"/>
        <family val="1"/>
      </rPr>
      <t>(10 điểm)</t>
    </r>
  </si>
  <si>
    <r>
      <t xml:space="preserve">Có tham gia ít nhất 2 đề tài NCKH với vai trò là người hỗ trợ chính/ Thư ký đề tài đã được phê duyệt đề cương và đang thực hiện
</t>
    </r>
    <r>
      <rPr>
        <sz val="13"/>
        <color indexed="8"/>
        <rFont val="Times New Roman"/>
        <family val="1"/>
      </rPr>
      <t>(5 điểm)</t>
    </r>
  </si>
  <si>
    <r>
      <t xml:space="preserve">Là chủ nhiệm ít nhất 2 đề tài NCKH đã được phê duyệt đề cương và đang thực hiện.
</t>
    </r>
    <r>
      <rPr>
        <sz val="13"/>
        <color indexed="8"/>
        <rFont val="Times New Roman"/>
        <family val="1"/>
      </rPr>
      <t>(10 điểm)</t>
    </r>
  </si>
  <si>
    <r>
      <t xml:space="preserve">Là chủ nhiệm ít nhất 2 đề tài đề tài NCKH đã hoàn thành đang trong quá trình chờ thẩm định
</t>
    </r>
    <r>
      <rPr>
        <sz val="13"/>
        <color indexed="8"/>
        <rFont val="Times New Roman"/>
        <family val="1"/>
      </rPr>
      <t>(9 điểm)</t>
    </r>
  </si>
  <si>
    <r>
      <t xml:space="preserve">Là chủ nhiệm đề tài cấp cơ sở ≥ 2 bài/ năm hoặc đề tài cấp tỉnh/ thành phố đã được công nhận và công bố trên tạp chí có số ISSN trong nước trong vòng 2 năm
</t>
    </r>
    <r>
      <rPr>
        <sz val="13"/>
        <color indexed="8"/>
        <rFont val="Times New Roman"/>
        <family val="1"/>
      </rPr>
      <t>(12 điểm)</t>
    </r>
  </si>
  <si>
    <r>
      <t xml:space="preserve">Là chủ nhiệm đề tài cấp cơ sở ≥ 2 bài/ năm hoặc đề tài cấp tỉnh/ thành phố đã được công nhận và công bố trên tạp chí có số ISSN trong nước và được mời báo cáo hội nghị điều dưỡng ít nhất 2 lần về đề tài đã công bố trong vòng 2 năm
</t>
    </r>
    <r>
      <rPr>
        <sz val="13"/>
        <color indexed="8"/>
        <rFont val="Times New Roman"/>
        <family val="1"/>
      </rPr>
      <t>(15 điểm)</t>
    </r>
  </si>
  <si>
    <r>
      <t xml:space="preserve">Có tên trong bài báo được đăng tạp chí uy tín ở nước ngoài hoặc đang tham gia đề tài cấp nhà nước, đề tài đã được phê duyệt đề cương và đang trong quá trình hoàn tất
</t>
    </r>
    <r>
      <rPr>
        <sz val="13"/>
        <color indexed="8"/>
        <rFont val="Times New Roman"/>
        <family val="1"/>
      </rPr>
      <t>(4 điểm)</t>
    </r>
  </si>
  <si>
    <r>
      <t xml:space="preserve">Có tên trong bài báo được đăng tạp chí uy tín ở nước ngoài hoặc  tham gia đề tài cấp nhà nước, đề tài đã hoàn thành và đnag chờ thẩm định
</t>
    </r>
    <r>
      <rPr>
        <sz val="13"/>
        <color indexed="8"/>
        <rFont val="Times New Roman"/>
        <family val="1"/>
      </rPr>
      <t>(8 điểm)</t>
    </r>
  </si>
  <si>
    <r>
      <t xml:space="preserve">là chủ nhiệm đề tài được đăng tạp chí uy tín ở nước ngoài hoặc  tham gia đề tài cấp nhà nước, đề tài đã hoàn thành và đang chờ thẩm định
</t>
    </r>
    <r>
      <rPr>
        <sz val="13"/>
        <color indexed="8"/>
        <rFont val="Times New Roman"/>
        <family val="1"/>
      </rPr>
      <t>(12 điểm)</t>
    </r>
  </si>
  <si>
    <r>
      <t xml:space="preserve">Là chủ nhiệm đề tài được đăng tạp chí uy tín ở nước ngoài hoặc đề tài cấp nhà nước được công nhận trong vòng 5 năm
</t>
    </r>
    <r>
      <rPr>
        <sz val="13"/>
        <color indexed="8"/>
        <rFont val="Times New Roman"/>
        <family val="1"/>
      </rPr>
      <t>(16 điểm)</t>
    </r>
  </si>
  <si>
    <r>
      <t xml:space="preserve">Là chủ nhiệm đề tài được đăng tạp chí uy tín ở nước ngoài hoặc đề tài cấp nhà nước được công nhận và mời báo cáo trong các hội nghị quốc tế ít nhất 1 lần về đề tài trong vòng 5 năm
</t>
    </r>
    <r>
      <rPr>
        <sz val="13"/>
        <color indexed="8"/>
        <rFont val="Times New Roman"/>
        <family val="1"/>
      </rPr>
      <t>(20 điểm)</t>
    </r>
  </si>
  <si>
    <r>
      <t xml:space="preserve">Có tham gia ít nhất 1 đề tài NCKH/ SKCT liên quan đến thực hành chăm sóc đã được phê duyệt đề cương và đang trong quá trình thực hiện
</t>
    </r>
    <r>
      <rPr>
        <sz val="13"/>
        <color indexed="8"/>
        <rFont val="Times New Roman"/>
        <family val="1"/>
      </rPr>
      <t>(2 điểm)</t>
    </r>
  </si>
  <si>
    <r>
      <t xml:space="preserve">là chủ nhiệm ít nhất 1 đề tài NCKH/ SKCT liên quan đến thực hành chăm sóc đã được phê duyệt đề cương và đang trong quá trình thực hiện
</t>
    </r>
    <r>
      <rPr>
        <sz val="13"/>
        <color indexed="8"/>
        <rFont val="Times New Roman"/>
        <family val="1"/>
      </rPr>
      <t>(4 điểm)</t>
    </r>
  </si>
  <si>
    <r>
      <t xml:space="preserve">Là chủ nhiệm ít nhất 1 đề tài NCKH/ SKCT liên quan đến thực hành chăm sóc đã hoàn thành, đang chờ thẩm định.
</t>
    </r>
    <r>
      <rPr>
        <sz val="13"/>
        <color indexed="8"/>
        <rFont val="Times New Roman"/>
        <family val="1"/>
      </rPr>
      <t>(6 điểm)</t>
    </r>
  </si>
  <si>
    <r>
      <t xml:space="preserve">Là chủ nhiệm ít nhất 1 đề tài NCKH/ SKCT liên quan đến thực hành chăm sóc đã được công nhận.
</t>
    </r>
    <r>
      <rPr>
        <sz val="13"/>
        <color indexed="8"/>
        <rFont val="Times New Roman"/>
        <family val="1"/>
      </rPr>
      <t>(8 điểm)</t>
    </r>
  </si>
  <si>
    <r>
      <t xml:space="preserve">Là chủ nhiệm đề tài mà  giải pháp cải tiến/ thay đổi thực hành chăm sóc dựa trên kết quả nghiên cứu được phân tích và đánh giá khả năng áp dụng
</t>
    </r>
    <r>
      <rPr>
        <sz val="13"/>
        <color indexed="8"/>
        <rFont val="Times New Roman"/>
        <family val="1"/>
      </rPr>
      <t>(10 điểm)</t>
    </r>
  </si>
  <si>
    <r>
      <t xml:space="preserve">Kết quả NCKH/SKCT, phát minh mới được đăng ký bản quyền sở hữu trí tuệ trong vòng 2 năm
</t>
    </r>
    <r>
      <rPr>
        <sz val="13"/>
        <color indexed="8"/>
        <rFont val="Times New Roman"/>
        <family val="1"/>
      </rPr>
      <t>(10 điểm)</t>
    </r>
  </si>
  <si>
    <r>
      <t xml:space="preserve">Triển khai đánh giá và đo lường hiệu quả của kế hoạch. </t>
    </r>
    <r>
      <rPr>
        <sz val="13"/>
        <color indexed="8"/>
        <rFont val="Times New Roman"/>
        <family val="1"/>
      </rPr>
      <t>(10 điểm)</t>
    </r>
  </si>
  <si>
    <r>
      <t xml:space="preserve">Triển khai và báo cáo kết quả đề án cải tiến tại khoa, đơn vị. </t>
    </r>
    <r>
      <rPr>
        <sz val="13"/>
        <color indexed="8"/>
        <rFont val="Times New Roman"/>
        <family val="1"/>
      </rPr>
      <t>(5 điểm)</t>
    </r>
  </si>
  <si>
    <r>
      <t xml:space="preserve">Đề án được thẩm định và công nhận hiệu quả bởi Hội đồng chuyên môn.
Được triển khai ứng dụng tại bệnh viện. </t>
    </r>
    <r>
      <rPr>
        <sz val="13"/>
        <color indexed="8"/>
        <rFont val="Times New Roman"/>
        <family val="1"/>
      </rPr>
      <t>(10 điểm)</t>
    </r>
  </si>
  <si>
    <r>
      <t xml:space="preserve">Có kế hoạch giám sát/tham gia giám sát tuân thủ quy định
 </t>
    </r>
    <r>
      <rPr>
        <sz val="13"/>
        <color indexed="8"/>
        <rFont val="Times New Roman"/>
        <family val="1"/>
      </rPr>
      <t>(4 điểm)</t>
    </r>
  </si>
  <si>
    <r>
      <t xml:space="preserve">Có giải pháp cải thiện và tăng cường sự tuân thủ của nhân viên 
</t>
    </r>
    <r>
      <rPr>
        <sz val="13"/>
        <color indexed="8"/>
        <rFont val="Times New Roman"/>
        <family val="1"/>
      </rPr>
      <t>(5 điểm)</t>
    </r>
  </si>
  <si>
    <r>
      <t xml:space="preserve">Có kiến thức về an toàn phòng cháy chữa cháy và các trường hợp khẩn cấp khác (sử dụng các phương tiện chữa cháy, thoát hiểm,…) 
</t>
    </r>
    <r>
      <rPr>
        <sz val="13"/>
        <color indexed="8"/>
        <rFont val="Times New Roman"/>
        <family val="1"/>
      </rPr>
      <t>(3 điểm)</t>
    </r>
  </si>
  <si>
    <r>
      <t xml:space="preserve">Nêu được những điểm mạnh, điểm yếu cá nhân và nguyện vọng phát triển nghề nghiệp.
 </t>
    </r>
    <r>
      <rPr>
        <sz val="13"/>
        <color indexed="8"/>
        <rFont val="Times New Roman"/>
        <family val="1"/>
      </rPr>
      <t>(4 điểm)</t>
    </r>
  </si>
  <si>
    <r>
      <t xml:space="preserve">Có kế hoạch và đang thực hiện kế hoạch phát triển nghề nghiệp.
</t>
    </r>
    <r>
      <rPr>
        <sz val="13"/>
        <color indexed="8"/>
        <rFont val="Times New Roman"/>
        <family val="1"/>
      </rPr>
      <t>(8 điểm)</t>
    </r>
  </si>
  <si>
    <r>
      <t xml:space="preserve">Đạt được các bằng cấp nâng cao trình độ chuyên môn, nghiệp vụ trong vòng 3 năm.
</t>
    </r>
    <r>
      <rPr>
        <sz val="13"/>
        <color indexed="8"/>
        <rFont val="Times New Roman"/>
        <family val="1"/>
      </rPr>
      <t>(10 điểm)</t>
    </r>
  </si>
  <si>
    <r>
      <t xml:space="preserve">Đạt được 12 tiết trong năm 
</t>
    </r>
    <r>
      <rPr>
        <sz val="13"/>
        <color indexed="8"/>
        <rFont val="Times New Roman"/>
        <family val="1"/>
      </rPr>
      <t>(6 điểm)</t>
    </r>
  </si>
  <si>
    <r>
      <t xml:space="preserve">Đạt được 24 tiết trong năm 
</t>
    </r>
    <r>
      <rPr>
        <sz val="13"/>
        <color indexed="8"/>
        <rFont val="Times New Roman"/>
        <family val="1"/>
      </rPr>
      <t>(8 điểm)</t>
    </r>
  </si>
  <si>
    <r>
      <t xml:space="preserve">Đạt được &gt;24 tiết trong năm
-Và ít nhất 50% các chương trình đào tạo tập huấn nâng cao kiến thức chuyên môn và kỹ năng khác do bệnh viện tổ chức
</t>
    </r>
    <r>
      <rPr>
        <sz val="13"/>
        <color indexed="8"/>
        <rFont val="Times New Roman"/>
        <family val="1"/>
      </rPr>
      <t>(10 điểm)</t>
    </r>
  </si>
  <si>
    <r>
      <t xml:space="preserve">Có thái độ tích cực với những đổi mới, quan điểm trái chiều, thể hiện sự lắng nghe các kiến nghị và các đề xuất, thử nghiệm các phương pháp mới 
</t>
    </r>
    <r>
      <rPr>
        <sz val="13"/>
        <color indexed="8"/>
        <rFont val="Times New Roman"/>
        <family val="1"/>
      </rPr>
      <t>(10 điểm)</t>
    </r>
  </si>
  <si>
    <r>
      <t xml:space="preserve">Tham gia hướng dẫn lâm sàng 
</t>
    </r>
    <r>
      <rPr>
        <sz val="13"/>
        <color indexed="8"/>
        <rFont val="Times New Roman"/>
        <family val="1"/>
      </rPr>
      <t>(4 điểm)</t>
    </r>
  </si>
  <si>
    <r>
      <t xml:space="preserve">Tham gia biên soạn nội dung chương trình đào tạo 
</t>
    </r>
    <r>
      <rPr>
        <sz val="13"/>
        <color indexed="8"/>
        <rFont val="Times New Roman"/>
        <family val="1"/>
      </rPr>
      <t>(6 điểm)</t>
    </r>
  </si>
  <si>
    <r>
      <t xml:space="preserve">Tham gia giảng dạy tại khoa/đơn vị
</t>
    </r>
    <r>
      <rPr>
        <sz val="13"/>
        <color indexed="8"/>
        <rFont val="Times New Roman"/>
        <family val="1"/>
      </rPr>
      <t>(8 điểm)</t>
    </r>
  </si>
  <si>
    <r>
      <t xml:space="preserve">Tham gia giảng dạy toàn bệnh viện 
</t>
    </r>
    <r>
      <rPr>
        <sz val="13"/>
        <color indexed="8"/>
        <rFont val="Times New Roman"/>
        <family val="1"/>
      </rPr>
      <t>(10 điểm)</t>
    </r>
  </si>
  <si>
    <r>
      <t xml:space="preserve">Xây dựng được mục tiêu công việc theo vị trí phân công
</t>
    </r>
    <r>
      <rPr>
        <sz val="13"/>
        <color indexed="8"/>
        <rFont val="Times New Roman"/>
        <family val="1"/>
      </rPr>
      <t>(12điểm)</t>
    </r>
  </si>
  <si>
    <r>
      <t xml:space="preserve">Hoàn thành 80% mục tiêu công việc đã được xác định 
</t>
    </r>
    <r>
      <rPr>
        <sz val="13"/>
        <color indexed="8"/>
        <rFont val="Times New Roman"/>
        <family val="1"/>
      </rPr>
      <t>(16điểm)</t>
    </r>
  </si>
  <si>
    <r>
      <t xml:space="preserve">Hoàn thành 100% mục tiêu công việc đã được xác định </t>
    </r>
    <r>
      <rPr>
        <sz val="13"/>
        <color indexed="8"/>
        <rFont val="Times New Roman"/>
        <family val="1"/>
      </rPr>
      <t>(20điểm)</t>
    </r>
  </si>
  <si>
    <r>
      <t>A. Trung học/Cao đẳng</t>
    </r>
    <r>
      <rPr>
        <i/>
        <sz val="9"/>
        <color indexed="8"/>
        <rFont val="Times New Roman"/>
        <family val="1"/>
      </rPr>
      <t xml:space="preserve"> </t>
    </r>
  </si>
  <si>
    <r>
      <t xml:space="preserve">B. Đại học </t>
    </r>
    <r>
      <rPr>
        <i/>
        <sz val="10"/>
        <color indexed="8"/>
        <rFont val="Times New Roman"/>
        <family val="1"/>
      </rPr>
      <t/>
    </r>
  </si>
  <si>
    <r>
      <t xml:space="preserve">Sử dụng công nghệ thông tin cơ bản
</t>
    </r>
    <r>
      <rPr>
        <i/>
        <sz val="11"/>
        <color indexed="8"/>
        <rFont val="Times New Roman"/>
        <family val="1"/>
      </rPr>
      <t>(Theo Thông tư số 03/2014/TT-BTTTT)</t>
    </r>
  </si>
  <si>
    <r>
      <t xml:space="preserve">Sử dụng công nghệ thông tin nâng cao 
</t>
    </r>
    <r>
      <rPr>
        <i/>
        <sz val="11"/>
        <color indexed="8"/>
        <rFont val="Times New Roman"/>
        <family val="1"/>
      </rPr>
      <t>(Theo Thông tư số 03/2014/TT-BTTTT)</t>
    </r>
  </si>
  <si>
    <t>Tuân thủ tiêu chuẩn đạo đức, không đổ lỗi cho đồng nghiệp, người bệnh đối với các sai sót của cá nhân. Bảo vệ hình ảnh đồng nghiệp trước người bệnh/ người nhà và xã hội</t>
  </si>
  <si>
    <t xml:space="preserve">Tiêu chí
</t>
  </si>
  <si>
    <t>Lập kế hoạch bảo quản trang thiết bị, vật tư một cách hiệu quả</t>
  </si>
  <si>
    <t xml:space="preserve">CẤP 1 </t>
  </si>
  <si>
    <t>Điểm đánh giá</t>
  </si>
  <si>
    <t xml:space="preserve">CẤP 2 </t>
  </si>
  <si>
    <t xml:space="preserve">CẤP 3 </t>
  </si>
  <si>
    <t xml:space="preserve">CẤP 4 </t>
  </si>
  <si>
    <t>Nhân viên</t>
  </si>
  <si>
    <t>Quản lý trực tiếp</t>
  </si>
  <si>
    <t xml:space="preserve">CẤP 6 </t>
  </si>
  <si>
    <t xml:space="preserve">CẤP 7 </t>
  </si>
  <si>
    <t xml:space="preserve">            PHÒNG ĐIỀU DƯỠNG</t>
  </si>
  <si>
    <t>TIÊU CHÍ ĐÁNH GIÁ NĂNG LỰC ĐD/HS/KTY UMC</t>
  </si>
  <si>
    <r>
      <t xml:space="preserve">TIÊU CHUẨN NĂNG LỰC VÀ CÁC TIÊU CHÍ ĐÁNH GIÁ
</t>
    </r>
    <r>
      <rPr>
        <b/>
        <sz val="15"/>
        <color indexed="30"/>
        <rFont val="Times New Roman"/>
        <family val="1"/>
      </rPr>
      <t>ÁP DỤNG CHO KỸ THUẬT Y XÉT NGHIỆM</t>
    </r>
  </si>
  <si>
    <t>Tuân thủ quy định về Y đức của nhân viên y tế</t>
  </si>
  <si>
    <t>TIÊU CHUẨN 7.
Hiểu biết về an toàn sinh học</t>
  </si>
  <si>
    <t>Phân loại cấp độ an toàn sinh học dựa trên các nhóm nguy cơ tại phòng xét nghiệm</t>
  </si>
  <si>
    <t>Quản lý an toàn phòng xét nghiệm: Đảm bảo nhiệm vụ và trách nhiệm của nhân viên an toàn</t>
  </si>
  <si>
    <t>Phân loại chất thải và đảm bảo an toàn trong xử lý chất thải phòng xét nghiệm</t>
  </si>
  <si>
    <t>Tuân thủ, đảm bảo an toàn trong việc lưu trữ mẫu bệnh phẩm</t>
  </si>
  <si>
    <t>Thực hành an toàn sinh học trong phòng xét nghiệm</t>
  </si>
  <si>
    <t xml:space="preserve">TIÊU CHUẨN 8. Năng lực lập kế hoạch thực hiện hệ thống quản lý chất lượng xét nghiệm
</t>
  </si>
  <si>
    <t>Tuân thủ các bước thực hiện hệ thống quản lý chất lượng 12 thành tố và ISO 15189</t>
  </si>
  <si>
    <t>Xây dựng các chỉ số chất lượng của 03 giai đoạn quá trình xét nghiệm dựa trên mục tiêu chất lượng của phòng xét nghiệm</t>
  </si>
  <si>
    <t>Hiểu được cấu trúc hệ thống quản lý chất lượng và mối quan hệ với hệ thống tài liệu</t>
  </si>
  <si>
    <t>Thiết lập mục tiêu và kế hoạch chất lượng phòng xét nghiệm</t>
  </si>
  <si>
    <t xml:space="preserve">TIÊU CHUẨN 9. Năng lực ứng dụng kỹ thuật xét nghiệm </t>
  </si>
  <si>
    <t>Vận hành và thực hiện chạy mẫu bệnh phẩm trên hệ thống tự động</t>
  </si>
  <si>
    <t>Hiệu chuẩn máy, thuốc thử đạt yêu cầu phân tích</t>
  </si>
  <si>
    <t>Hướng dẫn và đào tạo nhân viên mới</t>
  </si>
  <si>
    <t>Xây dựng và thực hiện quy trình kiểm soát chất lượng (nội kiểm, ngoại kiểm)</t>
  </si>
  <si>
    <t>Xác nhận giá trị sử dụng đã có: xét nghiệm định lượng, xét nghiệm định tính và bán định lượng</t>
  </si>
  <si>
    <t>TIÊU CHUẨN 10.
Năng lực đảm bảo chất lượng xét nghiệm</t>
  </si>
  <si>
    <t>Thực hiện đảm bảo chất lượng trước xét nghiệm</t>
  </si>
  <si>
    <t>Đánh giá nội kiểm chất lượng và ngoại kiểm chất lượng trong xét nghiệm</t>
  </si>
  <si>
    <t>Nhận định và phát hành kết quả xét nghiệm sau phân tích</t>
  </si>
  <si>
    <t>TIÊU CHUẨN 11.
Năng lực quản lý chất lượng xét nghiệm</t>
  </si>
  <si>
    <t xml:space="preserve">Ghi chép và lưu trữ hồ sơ quản lý chất lượng xét nghiệm bảo đảm chính xác, đầy đủ và kịp thời </t>
  </si>
  <si>
    <t>Xây dựng chỉ số chất lượng (KPI) cho từng chỉ tiêu xét nghiệm cần theo dõi</t>
  </si>
  <si>
    <t>Theo dõi và đánh giá hiệu quả chỉ số chất lượng và áp dụng thực tiễn</t>
  </si>
  <si>
    <t>Cải tiến và phát triển sơ đồ quá trình xét nghiệm (trước, trong và sau xét nghiệm)</t>
  </si>
  <si>
    <t>TIÊU CHUẨN 12.
Giao tiếp hiệu quả với đồng nghiệp và cấp trên</t>
  </si>
  <si>
    <t xml:space="preserve">Hợp tác làm việc nhóm và làm việc độc lập hiệu quả
Chia sẻ thông tin một cách hiệu quả
</t>
  </si>
  <si>
    <t xml:space="preserve">Tiêu chí </t>
  </si>
  <si>
    <t>Chủ động chia sẻ những thông tin và phản hồi thường xuyên với đồng nghiệp và khách hàng bên trong (bác sĩ, điều dưỡng, hộ lý)</t>
  </si>
  <si>
    <t>Giao tiếp hiệu quả với đồng nghiệp và khách hàng bên trong</t>
  </si>
  <si>
    <t>Cam kết bảo mật thông tin bên trong và bên ngoài</t>
  </si>
  <si>
    <t>TIÊU CHUẨN 13.
Đào tạo</t>
  </si>
  <si>
    <t>TIÊU CHUẨN 14.
Nghiên cứu khoa học</t>
  </si>
  <si>
    <t>TIÊU CHUẨN 15.
Thực hành dựa trên bằng chứng</t>
  </si>
  <si>
    <t>TIÊU CHUẨN 16.
Quản lý và sử dụng các trang thiết bị, dụng cụ y tế có hiệu quả</t>
  </si>
  <si>
    <t>TIÊU CHUẨN 17.
Sử dụng nguồn tài chính thích hợp trong phân tích xét nghiệm</t>
  </si>
  <si>
    <t>TIÊU CHUẨN 18.
Thiết lập môi trường làm việc hiệu quả, an toàn</t>
  </si>
  <si>
    <t>TIÊU CHUẨN 19.
Duy trì và phát triển năng lực cho cá nhân và đồng nghiệp</t>
  </si>
  <si>
    <t>TIÊU CHUẨN 20.
Cải tiến chất lượng thực hành xét nghiệm</t>
  </si>
  <si>
    <t>TIÊU CHUẨN 21.
Quản lý chất lượng thực hành xét nghiệm</t>
  </si>
  <si>
    <r>
      <rPr>
        <b/>
        <sz val="10"/>
        <color indexed="8"/>
        <rFont val="Times New Roman"/>
        <family val="1"/>
      </rPr>
      <t>Đối với Tiêu chí 63:</t>
    </r>
    <r>
      <rPr>
        <sz val="10"/>
        <color indexed="8"/>
        <rFont val="Times New Roman"/>
        <family val="1"/>
      </rPr>
      <t/>
    </r>
  </si>
  <si>
    <t>TIÊU CHUẨN 22.
Sự trải nghiệm nghề nghiệp</t>
  </si>
  <si>
    <t xml:space="preserve">Tuân thủ Quy định về Y Đức của nhân viên Y tế </t>
  </si>
  <si>
    <t>TIÊU CHUẨN 13
Đào tạo</t>
  </si>
  <si>
    <r>
      <t xml:space="preserve">Tuân thủ tiêu chuẩn đạo đức, không đỗ lỗi cho đồng nghiệp, người bệnh đối với các sai sót của cá nhân. Bảo vệ hình ảnh đồng nghiệp trước người bệnh/người nhà và xã hội.
</t>
    </r>
    <r>
      <rPr>
        <i/>
        <sz val="13"/>
        <color indexed="8"/>
        <rFont val="Times New Roman"/>
        <family val="1"/>
      </rPr>
      <t xml:space="preserve">- Không nhận tiền và lợi ích từ NB
- Tôn trọng và tự nguyện tham gia các hoạt động của </t>
    </r>
    <r>
      <rPr>
        <i/>
        <sz val="13"/>
        <color rgb="FFFF0000"/>
        <rFont val="Times New Roman"/>
        <family val="1"/>
      </rPr>
      <t>Hội ngành nghề xét nghiệm</t>
    </r>
    <r>
      <rPr>
        <i/>
        <sz val="13"/>
        <color indexed="8"/>
        <rFont val="Times New Roman"/>
        <family val="1"/>
      </rPr>
      <t xml:space="preserve">
- Tôn trọng và bảo vệ danh dự, uy tính của đồng nghiệp
- Hợp tác, giúp đỡ và truyền thụ kinh nghiệm cho đồng nghiệp</t>
    </r>
  </si>
  <si>
    <r>
      <t xml:space="preserve">Quảng bá hình ảnh người Kỹ thuật Y xét nghiệm , thể hiện tác phong và tư cách tốt, trang phục phù hợp, lời nói thuyết phục và cách cư xử đúng mực.
</t>
    </r>
    <r>
      <rPr>
        <i/>
        <sz val="13"/>
        <color rgb="FFFF0000"/>
        <rFont val="Times New Roman"/>
        <family val="1"/>
      </rPr>
      <t>- Tác phong và chuẩn mực (sạch sẽ, gọn gàng, tươm tất)
- Tư cách và lời nói (nhanh nhẹn, vui vẻ, than thiện, hòa đồng)
- Không ngừng nâng cao năng lực hành nghề
- Tự tôn nghề nghiệp
- Cam kết với cộng đồng và xã hội</t>
    </r>
  </si>
  <si>
    <t>-Thông báo kịp thời kết quả xét nghiệm có quyết định lâm sàng liên quan đến người bệnh cho bác sĩ điều trị;
- Hỗ trợ, phối hợp với kỹ thuật y khác trong việc thực hiện kỹ thuật chuyên môn được giao.
(6 điểm)</t>
  </si>
  <si>
    <t>- Thông báo kịp thời kết quả xét nghiệm có quyết định lâm sàng liên quan đến người bệnh cho bác sĩ điều trị;
- Tham gia hội chẩn mẫu xét nghiệm khi được phân công.
(8 điểm)</t>
  </si>
  <si>
    <t>- Thông báo kịp thời kết quả xét nghiệm có quyết định lâm sàng đến người bệnh cho bác sĩ điều trị; đề xuất chỉ định thêm xét nghiệm khác giúp chẩn đoán và điều trị trường hợp cần thiết;
- Tham gia hội chẩn mẫu xét nghiệm khi được phân công.
(10 điểm)</t>
  </si>
  <si>
    <t>Không thể làm việc trong nhóm, thường xuyên gây xung đột và không hoàn thành công việc cá nhân.
Không chia sẻ thông tin, gây khó khăn cho đồng nghiệp và khách hàng.
(3 điểm)</t>
  </si>
  <si>
    <t>Thỉnh thoảng hợp tác với nhóm nhưng thường cần sự hỗ trợ để hoàn thành công việc cá nhân
Chia sẻ thông tin không đầy đủ hoặc không đúng lúc, gây hiểu lầm.
(6 điểm)</t>
  </si>
  <si>
    <t xml:space="preserve">Có khả năng làm việc trong nhóm và độc lập, nhưng đôi khi thiếu sự chủ động.
Chia sẻ thông tin khi cần thiết, nhưng chưa chủ động.
(9 điểm)
</t>
  </si>
  <si>
    <t>Hợp tác tốt trong nhóm, chủ động hoàn thành công việc cá nhân và hỗ trợ đồng nghiệp khi cần
Chia sẻ thông tin một cách chủ động và kịp thời, giúp đồng nghiệp và khách hàng hiểu rõ hơn.
(12 điểm)</t>
  </si>
  <si>
    <t xml:space="preserve">Là người dẫn dắt trong nhóm, luôn hoàn thành công việc cá nhân một cách xuất sắc và khuyến khích đồng nghiệp hợp tác.
Luôn chủ động chia sẻ thông tin, tạo ra môi trường làm việc minh bạch và hiệu quả.
(15 điểm)
</t>
  </si>
  <si>
    <t>Là tấm gương về bảo mật thông tin, chủ động đề xuất các biện pháp cải thiện quy trình bảo mật và đào tạo đồng nghiệp về tầm quan trọng của bảo mật thông tin.
(15 điểm)</t>
  </si>
  <si>
    <t>Có ý thức về bảo mật thông tin, nhưng đôi khi chưa thực hiện đầy đủ các biện pháp cần thiết.
(5 điểm)</t>
  </si>
  <si>
    <t>Cam kết bảo mật thông tin, thực hiện tốt các quy định và hướng dẫn liên quan
(10 điểm)</t>
  </si>
  <si>
    <t>Giao tiếp kém, thường xuyên gây hiểu lầm và không thể truyền đạt thông điệp. 
(2 điểm)</t>
  </si>
  <si>
    <t>Giao tiếp không rõ ràng, cần cải thiện khả năng lắng nghe và phản hồi. (4 điểm)</t>
  </si>
  <si>
    <t>Giao tiếp hiệu quả ở mức độ cơ bản, nhưng chưa thực sự thu hút và thuyết phục. 
(6 điểm)</t>
  </si>
  <si>
    <t>Giao tiếp rõ ràng, lắng nghe tốt và có khả năng thuyết phục đồng nghiệp
(8 điểm)</t>
  </si>
  <si>
    <t>Giao tiếp xuất sắc, có khả năng truyền đạt thông điệp một cách rõ ràng và thuyết phục, đồng thời lắng nghe và phản hồi một cách nhạy bén, tạo ra mối quan hệ tốt với đồng nghiệp và khách hàng
(10 điểm)</t>
  </si>
  <si>
    <t>Ứng dụng kết quả NCKH vào thực hiện chuyên môn xét nghiệm, quản lý công việc</t>
  </si>
  <si>
    <t>Là chủ nhiệm đề tài mà giải pháp có kế hoạch áp dụng tại ít nhất 1 khoa/ 1 nhóm đối tượng liên quan.
(2 điểm)</t>
  </si>
  <si>
    <t>Là chủ nhiệm đề tài mà giải pháp cải tiến/ thay đổi kỹ thuật xét nghiệm, quản lý chất lượng xét nghiệm, an toàn phòng xét nghiệm dựa trên kết quả nghiên cứu được áp dụng ít nhất tại một khoa/ một nhóm đối tượng liên quan
(4 điểm)</t>
  </si>
  <si>
    <t>Là chủ nhiệm đề tài mà giải pháp cải tiến/ thay đổi kỹ thuật xét nghiệm, quản lý chất lượng xét nghiệm, an toàn phòng xét nghiệm dựa trên kết quả nghiên cứu được áp dụng ít nhất tại một khoa/ một nhóm đối tượng liên quan và đánh giá kết quả áp dụng
(6 điểm)</t>
  </si>
  <si>
    <t>Là chủ nhiệm đề tài mà giải pháp cải tiến/ thay đổi kỹ thuật xét nghiệm, quản lý chất lượng xét nghiệm, an toàn phòng xét nghiệm được đánh giá hiệu quả áp dụng
(8 điểm)</t>
  </si>
  <si>
    <t>Là chủ nhiệm đề tài mà giải pháp cải tiến/ thay đổi kỹ thuật xét nghiệm, quản lý chất lượng xét nghiệm, an toàn phòng xét nghiệm được đánh giá hiệu quả áp dụng và được áp dụng toàn viện
(10 điểm)</t>
  </si>
  <si>
    <t>Sử dụng các bằng chứng từ nghiên cứu khoa học để nâng cao chất lượng xét nghiệm</t>
  </si>
  <si>
    <t>Là chủ nhiệm đề tài mà  giải pháp cải tiến/ thay đổi kỹ thuật xét nghiệm, quản lý chất lượng xét nghiệm, an toàn phòng xét nghiệm dựa trên kết quả nghiên cứu được bệnh viện/ trường công nhận và được giải thưởng của trường/ bệnh viện 
(2 điểm)</t>
  </si>
  <si>
    <t>Là chủ nhiệm đề tài mà  giải pháp cải tiến/ thay đổi kỹ thuật xét nghiệm, quản lý chất lượng xét nghiệm, an toàn phòng xét nghiệm dựa trên kết quả nghiên cứu được công nhận và công bố trên các tạp chí có uy tín trong nước
(4 điểm)</t>
  </si>
  <si>
    <t>Là chủ nhiệm đề tài mà  giải pháp cải tiến/ thay đổi kỹ thuật xét nghiệm, quản lý chất lượng xét nghiệm, an toàn phòng xét nghiệm dựa trên kết quả nghiên cứu được nhận giải thưởng uy tín trong nước
(6 điểm)</t>
  </si>
  <si>
    <t>Là chủ nhiệm đề tài mà  giải pháp cải tiến/ thay đổi kỹ thuật xét nghiệm, quản lý chất lượng xét nghiệm, an toàn phòng xét nghiệm dựa trên kết quả nghiên cứu được công nhận và công bố trên các tạp chí có uy tín trong nước. Đang trong quá trình đăng ký bản quyền sở hữu trí tuệ
(8 điểm)</t>
  </si>
  <si>
    <t>Hiểu biết về quy trình, quy định quản lý, sử dụng trang thiết bị, dụng cụ y tế, vật tư phục vụ cho xét nghiệm</t>
  </si>
  <si>
    <t>Biết được: các loại thiết bị, hóa chất, sinh phẩm, vật tư tại khoa 
(1 điểm)</t>
  </si>
  <si>
    <t>Biết sử dụng, vận hành các trang thiết bị, hóa chất, sinh phẩm, vật tư tại khoa cần sự hỗ trợ thường xuyên. (2 điểm)</t>
  </si>
  <si>
    <t>Biết sử dụng, vận hành các trang thiết bị, hóa chất, sinh phẩm, vật tư tại khoa thỉnh thoảng cần sự hỗ trợ. 
(3 điểm)</t>
  </si>
  <si>
    <t>Biết sử dụng, vận hành các trang thiết bị, hóa chất, sinh phẩm, vật tư  tại khoa một cách độc lập. 
(4 điểm)</t>
  </si>
  <si>
    <t>Có khả năng hướng dẩn quy trình, quy định về sử dụng, vận hành các trang thiết bị, hóa chất, sinh phẩm, vật tư tại khoa. 
(5 điểm)</t>
  </si>
  <si>
    <t>Xác định được các yêu cầu về trang thiết bị ,hóa chất, sinh phẩm, vật tư phù hợp với  kỹ thuật xét nghiệm dựa trên bằng chứng khoa học. (
3 điểm)</t>
  </si>
  <si>
    <t>Xác định được các yêu cầu về trang thiết bị,  hóa chất, sinh phẩm, vật tư phù hợp với  kỹ thuật xét nghiệm dựa trên bằng chứng khoa học và có thực hiện đánh giá tại khoa/ đơn vị  
(4 điểm)</t>
  </si>
  <si>
    <t>Đề xuất được các trang thiết bị,  hóa chất, sinh phẩm, vật tư phù hợp với  kỹ thuật xét nghiệm dựa trên bằng chứng khoa học và có thực hiện đánh giá tại khoa/ đơn vị  
(5 điểm)</t>
  </si>
  <si>
    <t>Lập được kế hoạch bảo quản trang thiết bị, hóa chất, sinh phẩm, vật tư
(6 điểm)</t>
  </si>
  <si>
    <t>Đảm bảo thực hiện kế hoạch đúng tiến độ 
(8 điểm)</t>
  </si>
  <si>
    <t>Có sáng kiến cải tiến trong bảo quản trang thiết bị, hóa chất, sinh phẩm, vật tư
(10 điểm)</t>
  </si>
  <si>
    <r>
      <t xml:space="preserve">Sử dụng thành thạo các trang thiết bị, phương tiện sử dụng trong </t>
    </r>
    <r>
      <rPr>
        <sz val="13"/>
        <color rgb="FFFF0000"/>
        <rFont val="Times New Roman"/>
        <family val="1"/>
      </rPr>
      <t>xét nghiệm</t>
    </r>
    <r>
      <rPr>
        <sz val="13"/>
        <color theme="1"/>
        <rFont val="Times New Roman"/>
        <family val="1"/>
      </rPr>
      <t xml:space="preserve"> an toàn, hiệu quả</t>
    </r>
  </si>
  <si>
    <t>Đánh giá, đo lường việc sử dụng và đề xuất cải tiến việc sử dụng trang thiết bị, hóa chất, sinh phẩm, vật tư  an toàn và hiệu quả. (10 điểm)</t>
  </si>
  <si>
    <t>Vận dụng thành thạo và xử lý các vấn đề phát sinh trong quá trình sử dụng các trang thiết bị, hóa chất, sinh phẩm, vật tư tại khoa 
(6 điểm)</t>
  </si>
  <si>
    <t>Hiểu rõ nguyên lý hoạt động và phòng ngừa các sự cố liên quan đến việc sử dụng trang thiết bị, hóa chất, sinh phẩm, vật tư 
(8 điểm)</t>
  </si>
  <si>
    <r>
      <t>Đánh giá được hiệu quả kinh tế của các k</t>
    </r>
    <r>
      <rPr>
        <sz val="13"/>
        <color rgb="FFFF0000"/>
        <rFont val="Times New Roman"/>
        <family val="1"/>
      </rPr>
      <t xml:space="preserve">ỹ thuật xét nghiệm triển khai </t>
    </r>
    <r>
      <rPr>
        <sz val="13"/>
        <color theme="1"/>
        <rFont val="Times New Roman"/>
        <family val="1"/>
      </rPr>
      <t>tại bệnh viện</t>
    </r>
  </si>
  <si>
    <t>Có nghiên cứu/đề án khảo sát hiệu quả kinh tế của một kỹ thuật xét nghiệm thực hiện tại khoa, đơn vị. (5 điểm)</t>
  </si>
  <si>
    <t>Có nghiên cứu/đề án khảo sát hiệu quả kinh tế của kỹ thuật xét nghiệm thực hiện đáp ứng nhu cầu điều trị các khoa lâm sàng. (10 điểm)</t>
  </si>
  <si>
    <r>
      <t xml:space="preserve">Xây dựng kế hoạch sử dụng các nguồn lực trong </t>
    </r>
    <r>
      <rPr>
        <sz val="13"/>
        <color rgb="FFFF0000"/>
        <rFont val="Times New Roman"/>
        <family val="1"/>
      </rPr>
      <t>xét nghiệm</t>
    </r>
    <r>
      <rPr>
        <sz val="13"/>
        <color theme="1"/>
        <rFont val="Times New Roman"/>
        <family val="1"/>
      </rPr>
      <t xml:space="preserve"> trong phạm vi phân công hiệu quả</t>
    </r>
  </si>
  <si>
    <t>Có đánh giá, phân tích nhu cầu nguồn nhân lực phục vụ cho công tác thực hiện chuyên môn xét nghiệm tại khoa hiệu quả
 (5 điểm)</t>
  </si>
  <si>
    <t>Xây dựng được kế hoạch phân bổ nguồn nhân lực phù hợp nhu cầu thực hiện chuyên môn tại khoa, đơn vị. 
(10 điểm)</t>
  </si>
  <si>
    <t>Có kế hoạch quản lý và dự toán nguồn tài chính phục vụ cho công tác chuyên môn tại khoa, đơn vị.
 (5 điểm)</t>
  </si>
  <si>
    <t>Có kiến thức về an toàn sinh học phòng xét nghiệm, an toàn lao động, sức khỏe nghề nghiệp 
(3 điểm)</t>
  </si>
  <si>
    <t>Có phổ biến, triển khai cho đồng nghiệp các nội dung liên quan đến an toàn sinh học phòng xét nghiệm, sức khỏe nghề nghiệp và luật pháp về an toàn lao động 
(4 điểm)</t>
  </si>
  <si>
    <t>Đề xuất được các giải pháp bảo vệ sức khỏe nghề nghiệp, tăng cường an toàn lao động, an toàn sinh học phòng xét nghiệm. 
(5 điểm)</t>
  </si>
  <si>
    <t>Tuân thủ các tiêu chuẩn và quy tắc về an toàn lao động, nhưng đôi khi chưa thực hiện đầy đủ các biện pháp cần thiết
(3 điểm)</t>
  </si>
  <si>
    <t>Tuân thủ tốt các tiêu chuẩn và quy tắc về an toàn lao động, thực hiện tốt các biện pháp phòng ngừa và đảm bảo an toàn
(4 điểm)</t>
  </si>
  <si>
    <t>Là tấm gương về tuân thủ các tiêu chuẩn và quy tắc về an toàn lao động, chủ động đề xuất các biện pháp cải thiện quy trình an toàn và đào tạo đồng nghiệp về tầm quan trọng của an toàn lao động
(5 điểm)</t>
  </si>
  <si>
    <t>Tuân thủ theo các quy trình về kiểm soát nhiễm khuẩn trong chăm sóc Người bệnh của Ban KSNK 
(6 điểm)</t>
  </si>
  <si>
    <r>
      <t xml:space="preserve">Có kế hoạch giám sát/tham gia giám sát tuân thủ các chính sách, quy trình 
</t>
    </r>
    <r>
      <rPr>
        <sz val="13"/>
        <color indexed="8"/>
        <rFont val="Times New Roman"/>
        <family val="1"/>
      </rPr>
      <t>(8 điểm)</t>
    </r>
  </si>
  <si>
    <r>
      <t xml:space="preserve">Có giải pháp cải thiện và tăng cường sự tuân thủ của nhân viên 
</t>
    </r>
    <r>
      <rPr>
        <sz val="13"/>
        <color indexed="8"/>
        <rFont val="Times New Roman"/>
        <family val="1"/>
      </rPr>
      <t>(10 điểm)</t>
    </r>
  </si>
  <si>
    <r>
      <t xml:space="preserve">Tuân thủ/triển khai các quy định dự phòng phơi nhiễm với các tác nhân gây bệnh và biết được phương pháp xử lý
</t>
    </r>
    <r>
      <rPr>
        <sz val="13"/>
        <color indexed="8"/>
        <rFont val="Times New Roman"/>
        <family val="1"/>
      </rPr>
      <t>(3 điểm)</t>
    </r>
  </si>
  <si>
    <r>
      <t xml:space="preserve">Có kiến thức về xử lý/quản lý tinh huống
 </t>
    </r>
    <r>
      <rPr>
        <sz val="13"/>
        <color indexed="8"/>
        <rFont val="Times New Roman"/>
        <family val="1"/>
      </rPr>
      <t>(5 điểm)</t>
    </r>
  </si>
  <si>
    <t>Có theo dõi và ghi nhận sự không phù hợp tại khoa, đơn vị 
(6 điểm)</t>
  </si>
  <si>
    <t>Phân tích sự không phù hợp để xác định các vấn đề cần khắc phục
(8 điểm)</t>
  </si>
  <si>
    <t>Có đánh giá và theo dõi sự không phù hợp
(10 điểm)</t>
  </si>
  <si>
    <t>Có đưa ra hành động khắc phục và biện pháp phòng ngừa sự không phù hợp nhằm đảm bảo chất lượng xét nghiệm
(10 điểm)</t>
  </si>
  <si>
    <t>Xây dựng được kế hoạch cải tiến chất lượng xét nghiệm tại Khoa, đơn vị
(6 điểm)</t>
  </si>
  <si>
    <t>Thực hiện kế hoạch cải tiến chất lượng xét nghiệm
(8 điểm)</t>
  </si>
  <si>
    <t>Đánh giá hiệu quả cải tiến chất lượng xét nghiệm đã được thực hiện 
(10 điểm)</t>
  </si>
  <si>
    <r>
      <t xml:space="preserve">Tổ chức, điều phối, phân công và ủy quyền nhiệm vụ cho các thành viên của </t>
    </r>
    <r>
      <rPr>
        <sz val="13"/>
        <color rgb="FFFF0000"/>
        <rFont val="Times New Roman"/>
        <family val="1"/>
      </rPr>
      <t>bộ phận xét nghiệm</t>
    </r>
    <r>
      <rPr>
        <sz val="13"/>
        <color theme="1"/>
        <rFont val="Times New Roman"/>
        <family val="1"/>
      </rPr>
      <t xml:space="preserve"> một cách khoa học, hợp lý, hiệu quả</t>
    </r>
  </si>
  <si>
    <t>Có sự phân công vai trò của các thành viên trong mỗi bộ phận xét nghiệm
 (6điểm)</t>
  </si>
  <si>
    <t>Có sự giám sát hỗ trợ cho các thành viên của mỗi bộ phận xét nghiệm 
(8điểm)</t>
  </si>
  <si>
    <t>Có sự phân công, hỗ trợ và chia sẻ thông tin trong mỗi bộ phận xét nghiệm
 (10điểm)</t>
  </si>
  <si>
    <t>TIÊU CHUẨN 17.
Sử dụng nguồn tài chính thích hợp trong phân tích xét nghiệm hiệu quả</t>
  </si>
  <si>
    <r>
      <t xml:space="preserve">TIÊU CHUẨN 20.
</t>
    </r>
    <r>
      <rPr>
        <b/>
        <sz val="13"/>
        <color rgb="FFFF0000"/>
        <rFont val="Times New Roman"/>
        <family val="1"/>
      </rPr>
      <t>Cải tiến chất lượng thực hành xét nghiệm</t>
    </r>
  </si>
  <si>
    <r>
      <t xml:space="preserve">TIÊU CHUẨN 21.
</t>
    </r>
    <r>
      <rPr>
        <b/>
        <sz val="13"/>
        <color rgb="FFFF0000"/>
        <rFont val="Times New Roman"/>
        <family val="1"/>
      </rPr>
      <t>Quản lý chất lượng thực hành xét nghiệm</t>
    </r>
  </si>
  <si>
    <r>
      <rPr>
        <b/>
        <sz val="13"/>
        <color indexed="8"/>
        <rFont val="Times New Roman"/>
        <family val="1"/>
      </rPr>
      <t xml:space="preserve">
Cách tính thâm niên công tác đối với những nhân viên đã công tác tại các bệnh viện khác trước khi làm việc tại BV ĐHYD
</t>
    </r>
    <r>
      <rPr>
        <sz val="13"/>
        <color indexed="8"/>
        <rFont val="Times New Roman"/>
        <family val="1"/>
      </rPr>
      <t xml:space="preserve">
</t>
    </r>
    <r>
      <rPr>
        <b/>
        <sz val="13"/>
        <color indexed="8"/>
        <rFont val="Times New Roman"/>
        <family val="1"/>
      </rPr>
      <t>Ghi chú</t>
    </r>
    <r>
      <rPr>
        <sz val="13"/>
        <color indexed="8"/>
        <rFont val="Times New Roman"/>
        <family val="1"/>
      </rPr>
      <t xml:space="preserve">: 1* và 2*: Bằng cấp trung học chỉ áp dụng đến năm 2024
                Đối với </t>
    </r>
    <r>
      <rPr>
        <sz val="13"/>
        <color rgb="FFFF0000"/>
        <rFont val="Times New Roman"/>
        <family val="1"/>
      </rPr>
      <t>KTV Y</t>
    </r>
    <r>
      <rPr>
        <sz val="13"/>
        <color indexed="8"/>
        <rFont val="Times New Roman"/>
        <family val="1"/>
      </rPr>
      <t xml:space="preserve"> có thâm niên công tác từ các BV khác: trải nghiệm nghề nghiệp được tính bằng bậc lương theo BV chi trả quy đổi sang số năm (Ví dụ: Bậc lương CN là 2/9 --&gt; trải nghiệm nghề nghiệp: 2x3-6 năm, bậc lương TH là 2/12 --&gt; trải nghiệm nghề nghiệp: 2x2=4 năm)</t>
    </r>
  </si>
  <si>
    <r>
      <t xml:space="preserve">BẢNG HƯỚNG DẪN ĐÁNH GIÁ NĂNG LỰC </t>
    </r>
    <r>
      <rPr>
        <b/>
        <sz val="14"/>
        <color rgb="FFFF0000"/>
        <rFont val="Times New Roman"/>
        <family val="1"/>
      </rPr>
      <t>KỸ THUẬT Y XÉT NGHIỆM</t>
    </r>
    <r>
      <rPr>
        <b/>
        <sz val="14"/>
        <color rgb="FF0070C0"/>
        <rFont val="Times New Roman"/>
        <family val="1"/>
      </rPr>
      <t xml:space="preserve"> UMC</t>
    </r>
  </si>
  <si>
    <r>
      <t xml:space="preserve">ĐH </t>
    </r>
    <r>
      <rPr>
        <sz val="13"/>
        <color rgb="FFFF0000"/>
        <rFont val="Times New Roman"/>
        <family val="1"/>
      </rPr>
      <t xml:space="preserve">Kỹ thuật y học </t>
    </r>
    <r>
      <rPr>
        <sz val="13"/>
        <color theme="1"/>
        <rFont val="Times New Roman"/>
        <family val="1"/>
      </rPr>
      <t>từ Châu Âu (trừ Đông Âu), Mỹ, Canada, New Zealand, Úc, Nhật Bản, Hàn Quốc, Singapore, Đài Loan, Malaysia</t>
    </r>
  </si>
  <si>
    <r>
      <rPr>
        <sz val="13"/>
        <rFont val="Times New Roman"/>
        <family val="1"/>
      </rPr>
      <t>Tuân thủ các quy định hành nghề theo luật định liên quan đến y tế</t>
    </r>
    <r>
      <rPr>
        <sz val="13"/>
        <color rgb="FFFF0000"/>
        <rFont val="Times New Roman"/>
        <family val="1"/>
      </rPr>
      <t xml:space="preserve">, thực hành Kỹ thuật Y xét nghiệm , BYT 
</t>
    </r>
    <r>
      <rPr>
        <i/>
        <sz val="13"/>
        <color rgb="FFFF0000"/>
        <rFont val="Times New Roman"/>
        <family val="1"/>
      </rPr>
      <t>(</t>
    </r>
    <r>
      <rPr>
        <i/>
        <sz val="13"/>
        <rFont val="Times New Roman"/>
        <family val="1"/>
      </rPr>
      <t>Luật khám chữa bệnh</t>
    </r>
    <r>
      <rPr>
        <i/>
        <sz val="13"/>
        <color rgb="FFFF0000"/>
        <rFont val="Times New Roman"/>
        <family val="1"/>
      </rPr>
      <t>, Nghị định 103/2016, thông tư số 01/2013, thông tư 26/2013, thông tư 49/2018, thông tư 51/2017, …)</t>
    </r>
  </si>
  <si>
    <t>Nhân viên tuân thủ đầy đủ quy định về y đức, có kỹ năng và hiểu biết sâu sắc về y đức trong công việc, còn giúp đỡ và hướng dẫn những người khác tuân thủ quy định về y đức
(5 điểm)</t>
  </si>
  <si>
    <t>Nhân viên tuân thủ đầy đủ quy định về y đức, có kỹ năng và hiểu biết tốt về y đức trong công việc
(4 điểm)</t>
  </si>
  <si>
    <t>Nhân viên tuân thủ đầy đủ quy định về y đức, nhưng cần phải cải thiện kỹ năng và hiểu biết để đạt được mức độ cao hơn
(3 điểm)</t>
  </si>
  <si>
    <t>Nhân viên chủ yếu tuân thủ quy định về y đức nhưng đôi lần vi phạm do lơ là hoặc vô ý
(2 điểm)</t>
  </si>
  <si>
    <t>Nhân viên hiểu biết cơ bản về các nhóm nguy cơ sinh học (ví dụ: Nhóm nguy cơ 1 đến 4) nhưng chưa có khả năng phân loại chính xác cho từng loại xét nghiệm cụ thể.
(2 diểm)</t>
  </si>
  <si>
    <t>Nhân viên có thể nhận diện được các nhóm nguy cơ sinh học dựa trên các hướng dẫn cơ bản nhưng cần sự hỗ trợ khi phân loại cho các loại xét nghiệm phức tạp.
(4 diểm)</t>
  </si>
  <si>
    <t>Nhân viên có thể phân loại các cấp độ an toàn sinh học một cách độc lập dựa trên hướng dẫn và phân tích nguy cơ tại phòng xét nghiệm.
(6 diểm)</t>
  </si>
  <si>
    <t>Nhân viên thành thạo trong việc phân loại và có thể hướng dẫn hoặc kiểm tra việc phân loại an toàn sinh học của đồng nghiệp.
(8 diểm)</t>
  </si>
  <si>
    <t>Nhân viên có khả năng đánh giá và cải thiện hệ thống phân loại an toàn sinh học, đồng thời tham gia vào việc xây dựng các quy trình phân loại tại bệnh viện.
(10 diểm)</t>
  </si>
  <si>
    <t>Nhân viên hiểu nhiệm vụ cơ bản của nhân viên an toàn nhưng chưa thể thực hiện đầy đủ các trách nhiệm an toàn.
(3 điểm)</t>
  </si>
  <si>
    <t>Nhân viên thực hiện các nhiệm vụ an toàn phòng xét nghiệm đơn giản dưới sự giám sát.
(6 điểm)</t>
  </si>
  <si>
    <t>Nhân viên có khả năng tự quản lý an toàn trong khu vực của mình và đảm bảo rằng các tiêu chuẩn an toàn được tuân thủ.
(9 điểm)</t>
  </si>
  <si>
    <t>Nhân viên có thể quản lý toàn bộ an toàn phòng xét nghiệm, đào tạo và hướng dẫn nhân viên khác về các quy trình an toàn.
(12 điểm)</t>
  </si>
  <si>
    <t>Nhân viên có khả năng phát triển và cải thiện các chính sách an toàn, đóng góp vào việc quản lý rủi ro tại phòng xét nghiệm, đảm bảo tuân thủ các quy định quốc gia và quốc tế.
(15 điểm)</t>
  </si>
  <si>
    <t>Nhân viên nhận diện được một số loại chất thải sinh học nhưng chưa hiểu rõ quy trình phân loại và xử lý an toàn.
(4 điểm)</t>
  </si>
  <si>
    <t>Nhân viên có khả năng phân loại cơ bản các loại chất thải (sinh học, hóa học) và xử lý chúng dưới sự giám sát
(8 điểm)</t>
  </si>
  <si>
    <t>Nhân viên phân loại và xử lý chất thải phòng xét nghiệm một cách độc lập, tuân thủ các hướng dẫn về an toàn.
(12 điểm)</t>
  </si>
  <si>
    <t>Nhân viên thành thạo trong việc hướng dẫn và giám sát việc phân loại, xử lý chất thải, đồng thời đảm bảo an toàn cho đồng nghiệp.
(16 điểm)</t>
  </si>
  <si>
    <t>Nhân viên có khả năng xây dựng và cải tiến các quy trình phân loại và xử lý chất thải, đảm bảo rằng toàn bộ quy trình đáp ứng các tiêu chuẩn về an toàn sinh học và môi trường.
(20 điểm)</t>
  </si>
  <si>
    <t>Nhân viên hiểu quy trình cơ bản về lưu trữ mẫu nhưng có thể chưa nhận thức được các nguy cơ liên quan đến từng loại mẫu bệnh phẩm.
(5 diểm)</t>
  </si>
  <si>
    <t>Nhân viên thực hiện việc lưu trữ mẫu bệnh phẩm dưới sự giám sát, tuân theo các quy trình được hướng dẫn.
(10 diểm)</t>
  </si>
  <si>
    <t>Nhân viên có khả năng tự lưu trữ mẫu bệnh phẩm một cách an toàn, đảm bảo các điều kiện bảo quản phù hợp cho từng loại mẫu.
(15 diểm)</t>
  </si>
  <si>
    <t>Nhân viên thành thạo trong việc quản lý và giám sát việc lưu trữ mẫu, đảm bảo rằng mọi mẫu bệnh phẩm đều được bảo quản theo đúng quy định và tiêu chuẩn an toàn
(20 diểm)</t>
  </si>
  <si>
    <t>Nhân viên có thể xây dựng và cải tiến quy trình lưu trữ mẫu bệnh phẩm, đồng thời đảm bảo tuân thủ các tiêu chuẩn quốc gia và quốc tế về lưu trữ và vận chuyển mẫu bệnh phẩm.
(25 diểm)</t>
  </si>
  <si>
    <t>Nhân viên nắm được những thực hành an toàn sinh học cơ bản nhưng vẫn cần sự giám sát thường xuyên.
(8 điểm)</t>
  </si>
  <si>
    <t>Nhân viên có thể tuân thủ các quy định an toàn sinh học cơ bản trong quá trình làm việc, với sự giám sát tối thiểu.
(16 điểm)</t>
  </si>
  <si>
    <t>Nhân viên thực hiện các thực hành an toàn sinh học một cách độc lập, đảm bảo không vi phạm các quy định về an toàn.
(24 điểm)</t>
  </si>
  <si>
    <t>Nhân viên có khả năng giám sát và hướng dẫn các đồng nghiệp về thực hành an toàn sinh học trong phòng xét nghiệm.
(32 điểm)</t>
  </si>
  <si>
    <t>Nhân viên có thể phát triển và điều chỉnh các chính sách về thực hành an toàn sinh học tại phòng xét nghiệm, nhằm đảm bảo tuân thủ các tiêu chuẩn cao nhất về an toàn.
(40 điểm)</t>
  </si>
  <si>
    <t>Nhân viên có hiểu biết cơ bản về hệ thống quản lý chất lượng 12 thành tố và ISO 15189, nhưng cần hướng dẫn chi tiết khi thực hiện.
(2 điểm)</t>
  </si>
  <si>
    <t>Nhân viên có thể tuân thủ một số bước trong hệ thống quản lý chất lượng 12 thành tố và ISO 15189 khi có sự giám sát.
(4 điểm)</t>
  </si>
  <si>
    <t>Nhân viên có khả năng thực hiện độc lập toàn bộ các bước của hệ thống quản lý chất lượng 12 thành tố và đảm bảo tuân thủ theo tiêu chuẩn ISO 15189.
(6 điểm)</t>
  </si>
  <si>
    <t>Nhân viên thành thạo trong việc giám sát và hướng dẫn đồng nghiệp tuân thủ hệ thống quản lý chất lượng 12 thành tố và ISO 15189.
(8 điểm)</t>
  </si>
  <si>
    <t>Nhân viên có thể xây dựng, điều chỉnh và cải tiến quy trình thực hiện hệ thống quản lý chất lượng 12 thành tố, đảm bảo phù hợp với tiêu chuẩn ISO 15189.
(10 điểm)</t>
  </si>
  <si>
    <t>Nhân viên có hiểu biết cơ bản về các chỉ số chất lượng nhưng chưa thể tham gia xây dựng chỉ số cho từng giai đoạn xét nghiệm.
(4 điểm)</t>
  </si>
  <si>
    <t>Nhân viên có thể hỗ trợ xây dựng các chỉ số chất lượng cho một hoặc vài giai đoạn của quá trình xét nghiệm (trước xét nghiệm, trong xét nghiệm, sau xét nghiệm) dưới sự giám sát.
(8 điểm)</t>
  </si>
  <si>
    <t>Nhân viên có khả năng độc lập xây dựng các chỉ số chất lượng cho toàn bộ các giai đoạn xét nghiệm dựa trên mục tiêu của phòng xét nghiệm.
(12 điểm)</t>
  </si>
  <si>
    <t>Nhân viên thành thạo trong việc đánh giá, phân tích và cải thiện các chỉ số chất lượng, đảm bảo chúng được thực hiện hiệu quả.
(16 điểm)</t>
  </si>
  <si>
    <t>Nhân viên có khả năng thiết lập, theo dõi và tối ưu hóa chỉ số chất lượng, đồng thời tham gia vào việc phát triển chiến lược cải thiện chất lượng.
(20 điểm)</t>
  </si>
  <si>
    <t>Nhân viên hiểu sơ bộ về cấu trúc hệ thống quản lý chất lượng và mối quan hệ với hệ thống tài liệu, nhưng cần sự hướng dẫn chi tiết.
(6 điểm)</t>
  </si>
  <si>
    <t>Nhân viên có thể nhận biết và tuân theo các yêu cầu cơ bản của hệ thống tài liệu và quản lý chất lượng dưới sự giám sát.
(12 điểm)</t>
  </si>
  <si>
    <t>Nhân viên nắm vững cấu trúc hệ thống quản lý chất lượng và có thể xử lý, cập nhật các tài liệu liên quan một cách độc lập.
(18 điểm)</t>
  </si>
  <si>
    <t>Nhân viên có khả năng hướng dẫn và kiểm soát tài liệu trong hệ thống quản lý chất lượng, đảm bảo tính chính xác và tuân thủ quy trình.
(24 điểm)</t>
  </si>
  <si>
    <t>Nhân viên có thể thiết kế và phát triển cấu trúc hệ thống tài liệu phù hợp với hệ thống quản lý chất lượng, đảm bảo tích hợp chặt chẽ giữa hai hệ thống.
(30 điểm)</t>
  </si>
  <si>
    <t>Nhân viên hiểu sơ lược về việc thiết lập mục tiêu và kế hoạch chất lượng nhưng chưa có khả năng tham gia vào quá trình này.
(10 điểm)</t>
  </si>
  <si>
    <t>Nhân viên có thể tham gia vào việc hỗ trợ thiết lập mục tiêu và kế hoạch chất lượng dưới sự giám sát.
(20 điểm)</t>
  </si>
  <si>
    <t>Nhân viên có khả năng độc lập thiết lập các mục tiêu chất lượng phù hợp với định hướng của phòng xét nghiệm và xây dựng kế hoạch thực hiện.
(30 điểm)</t>
  </si>
  <si>
    <t>Nhân viên thành thạo trong việc giám sát và điều chỉnh các kế hoạch chất lượng, đảm bảo đạt được mục tiêu đề ra.(40 điểm)</t>
  </si>
  <si>
    <t>Nhân viên có khả năng lãnh đạo quá trình thiết lập mục tiêu và kế hoạch chất lượng, phát triển chiến lược cải tiến liên tục cho phòng xét nghiệm.
(50 điểm)</t>
  </si>
  <si>
    <t>Nhân viên hiểu biết cơ bản về quy trình chạy mẫu trên hệ thống tự động nhưng chưa có khả năng vận hành độc lập.
(8 diểm)</t>
  </si>
  <si>
    <t>Nhân viên có thể vận hành hệ thống tự động dưới sự giám sát chặt chẽ.
(16 diểm)</t>
  </si>
  <si>
    <t>Nhân viên có khả năng đánh giá, cải tiến quy trình vận hành hệ thống tự động và đảm bảo hiệu quả hoạt động.
(40 diểm)</t>
  </si>
  <si>
    <t>Nhân viên vận hành và thực hiện chạy mẫu trên hệ thống tự động một cách độc lập, tuân thủ các quy trình kỹ thuật.
(24 diểm)</t>
  </si>
  <si>
    <t>Nhân viên thành thạo trong việc vận hành, khắc phục sự cố cơ bản của hệ thống tự động và hướng dẫn đồng nghiệp sử dụng.
(32 diểm)</t>
  </si>
  <si>
    <t>Nhân viên có hiểu biết cơ bản về quy trình hiệu chuẩn máy, thuốc thử nhưng chưa thể thực hiện độc lập.
(10 điểm)</t>
  </si>
  <si>
    <t>Nhân  viên có thể thực hiện hiệu chuẩn máy và thuốc thử dưới sự giám sát.
(20 điểm)</t>
  </si>
  <si>
    <t>Nhân  viên thực hiện độc lập hiệu chuẩn máy, đảm bảo máy và thuốc thử đạt yêu cầu phân tích.
(30 điểm)</t>
  </si>
  <si>
    <t>Nhân viên có khả năng phát triển và cải tiến quy trình hiệu chuẩn, đảm bảo tiêu chuẩn phân tích cao nhất.
50 điểm)</t>
  </si>
  <si>
    <t>Nhân  viên thành thạo trong việc hiệu chuẩn máy, thuốc thử và giải quyết các vấn đề liên quan đến độ chính xác của kết quả xét nghiệm.
40 điểm)</t>
  </si>
  <si>
    <t>Nhân viên có thể hướng dẫn các kỹ năng cơ bản cho nhân viên mới nhưng cần sự giám sát của cấp trên.
(12 điểm)</t>
  </si>
  <si>
    <t>Nhân viên có thể hỗ trợ đào tạo nhân viên mới ở mức độ giới thiệu quy trình làm việc cơ bản.
(24 điểm)</t>
  </si>
  <si>
    <t>Nhân viên có khả năng hướng dẫn và đào tạo độc lập cho nhân viên mới về các quy trình, thiết bị và quy định an toàn.
(36 điểm)</t>
  </si>
  <si>
    <t>Nhân viên thành thạo trong việc xây dựng chương trình đào tạo và trực tiếp hướng dẫn kỹ năng chuyên môn cho nhân viên mới.
(48 điểm)</t>
  </si>
  <si>
    <t>Nhânviên có khả năng phát triển và cải tiến quy trình đào tạo, đồng thời đánh giá hiệu quả đào tạo cho nhân viên mới.
(60 điểm)</t>
  </si>
  <si>
    <t>Nhân viên hiểu cơ bản về quy trình nội kiểm và ngoại kiểm nhưng chưa thể thực hiện độc lập.
(14 điểm)</t>
  </si>
  <si>
    <t>Nhân viên có thể thực hiện quy trình kiểm soát chất lượng nội kiểm và ngoại kiểm dưới sự giám sát.
(28 điểm)</t>
  </si>
  <si>
    <t>Nhân viên thực hiện độc lập quy trình kiểm soát chất lượng, đảm bảo các tiêu chuẩn về nội kiểm và ngoại kiểm.
(42 điểm)</t>
  </si>
  <si>
    <t>Nhân viên thành thạo trong việc xây dựng, giám sát và cải tiến các quy trình kiểm soát chất lượng.
(56 điểm)</t>
  </si>
  <si>
    <t>Nhân viên có thể xây dựng các quy trình kiểm soát chất lượng tiên tiến, đồng thời tham gia vào chương trình kiểm định chất lượng quốc gia hoặc quốc tế.
(70 điểm)</t>
  </si>
  <si>
    <t>Nhân viên có hiểu biết cơ bản về xác nhận giá trị sử dụng nhưng chưa có khả năng thực hiện.
(16 điểm)</t>
  </si>
  <si>
    <t>Nhân viên có thể thực hiện xác nhận giá trị sử dụng của các xét nghiệm dưới sự giám sát.
(32 điểm)</t>
  </si>
  <si>
    <t>Nhân viên có thể độc lập thực hiện xác nhận  giá trị sử dụng của các xét nghiệm định lượng, định tính và bán định lượng.
(48 điểm)</t>
  </si>
  <si>
    <t>Nhân viên thành thạo trong việc xác nhận  giá trị sử dụng của các xét nghiệm định lượng, định tính và bán định lượng.
(64 điểm)</t>
  </si>
  <si>
    <t>Nhân viên có khả năng xây dựng kế hoạch thực hiện xác nhận giá trị sử dụng của các xét nghiệm định lượng, định tính và bán định lượng, đảm bảo tính chính xác và hiệu quả.
(80 điểm)</t>
  </si>
  <si>
    <t>Nhân viên hiểu biết cơ bản về các quy trình trước xét nghiệm (như tiếp nhận, dán nhãn mẫu, nhận dạng người bệnh, lấy mẫu), nhưng cần sự giám sát để đảm bảo tuân thủ các quy trình.
(4 điểm)</t>
  </si>
  <si>
    <t>Nhân viên có thể thực hiện độc lập các bước cơ bản của quy trình trước xét nghiệm như lấy mẫu, vận chuyển, và bảo quản mẫu bệnh phẩm, nhưng vẫn cần sự hướng dẫn cho các quy trình phức tạp hơn.
(8 điểm)</t>
  </si>
  <si>
    <t>Nhân viên thành thạo trong việc thực hiện toàn bộ quy trình đảm bảo chất lượng trước xét nghiệm, từ chuẩn bị bệnh nhân, lấy mẫu, ghi nhãn chính xác đến vận chuyển và bảo quản mẫu bệnh phẩm một cách độc lập, đồng thời nhận diện và xử lý các yếu tố ảnh hưởng đến chất lượng mẫu.
(12 điểm)</t>
  </si>
  <si>
    <t>Nhân viên có khả năng giám sát, đào tạo và đánh giá hiệu quả của các quy trình trước xét nghiệm, đảm bảo rằng các tiêu chuẩn chất lượng luôn được tuân thủ.
(16 điểm)</t>
  </si>
  <si>
    <t>Nhân viên có thể phát triển và cải tiến quy trình đảm bảo chất lượng trước xét nghiệm, tối ưu hóa các bước để giảm thiểu sai sót, nâng cao độ chính xác và hiệu quả của quá trình này.
(20 điểm)</t>
  </si>
  <si>
    <t>Nhân viên hiểu khái niệm cơ bản về nội kiểm và ngoại kiểm, nhưng chưa thể đánh giá độc lập. Họ cần sự hướng dẫn khi thực hiện các bước liên quan.
(6 điểm)</t>
  </si>
  <si>
    <t>Nhân viên có thể thực hiện đánh giá nội kiểm, ngoại kiểm nhưng cần có sự giám sát.
(12 điểm)</t>
  </si>
  <si>
    <t>Nhân  viên có khả năng thực hiện và đánh giá nội kiểm chất lượng một cách độc lập, đảm bảo rằng các kết quả xét nghiệm đạt độ chính xác yêu cầu, và biết cách đánh giá kết quả từ các chương trình ngoại kiểm, đảm bảo tính nhất quán giữa các lần kiểm tra.
(18 điểm)</t>
  </si>
  <si>
    <t>Nhân viên thành thạo trong việc thiết lập, giám sát, và phân tích kết quả nội kiểm và ngoại kiểm, đảm bảo rằng mọi sai lệch đều được nhận diện và điều chỉnh kịp thời. Đồng thời, họ có thể hướng dẫn đồng nghiệp về các quy trình nội và ngoại kiểm.
(24 điểm)</t>
  </si>
  <si>
    <t>Nhân viên có khả năng phát triển các chiến lược kiểm soát chất lượng, tối ưu hóa quy trình nội kiểm và ngoại kiểm, và xây dựng các chính sách kiểm soát chất lượng toàn diện cho phòng xét nghiệm, tham gia vào các chương trình ngoại kiểm quốc gia và quốc tế.
(30 điểm)</t>
  </si>
  <si>
    <t>Nhân viên có khả năng thực hiện việc kiểm tra các kết quả xét nghiệm sau phân tích nhưng cần sự giám sát và hướng dẫn để đánh giá tính hợp lý của kết quả.
(10 điểm)</t>
  </si>
  <si>
    <t>Nhân viên có thể thực hiện kiểm tra kết quả sau phân tích dưới sự giám sát, đảm bảo không có sai sót rõ ràng và có thể hỗ trợ phát hành kết quả.
(20 điểm)</t>
  </si>
  <si>
    <t>Nhân viên có khả năng đánh giá kết quả xét nghiệm sau phân tích một cách độc lập, phát hiện những bất thường và đưa ra nhận định về độ chính xác của kết quả trước khi phát hành. Họ có thể yêu cầu kiểm tra lại các bước nếu kết quả không đạt yêu cầu.(30 điểm)</t>
  </si>
  <si>
    <t>Nhân viên thành thạo trong việc nhận định và phát hành kết quả xét nghiệm, bao gồm đánh giá sự phù hợp của kết quả với tình trạng lâm sàng của bệnh nhân. Họ có thể hướng dẫn và giám sát các đồng nghiệp khác trong quy trình này.
(40 điểm)</t>
  </si>
  <si>
    <t>Nhân viên có khả năng xây dựng quy trình đánh giá và phát hành kết quả xét nghiệm, đảm bảo sự phù hợp giữa các bước phân tích và lâm sàng, và có thể đóng góp vào việc phát triển các tiêu chuẩn chất lượng sau phân tích trong phòng xét nghiệm.(50 điểm)</t>
  </si>
  <si>
    <t>Ghi chép và lưu trữ được cải thiện, nhưng đôi khi vẫn thiếu kịp thời hoặc thiếu thông tin.
(8 điểm)</t>
  </si>
  <si>
    <t>Ghi chép và lưu trữ chính xác, đầy đủ, nhưng cần hỗ trợ về hệ thống hóa thông tin.
(12 điểm)</t>
  </si>
  <si>
    <t>Thành thạo trong việc quản lý hồ sơ và có khả năng cải tiến hệ thống lưu trữ và ghi chép để tối ưu hóa quy trình quản lý chất lượng.
(20 điểm)</t>
  </si>
  <si>
    <t>Chỉ thực hiện ghi chép cơ bản và có thể thiếu chính xác hoặc đầy đủ.
(4 điểm)</t>
  </si>
  <si>
    <t>Có khả năng tự ghi chép, lưu trữ hồ sơ một cách đầy đủ, chính xác và kịp thời, cũng như sắp xếp có hệ thống.
(16 điểm)</t>
  </si>
  <si>
    <t>Không có khả năng tự xây dựng chỉ số chất lượng cho từng chỉ tiêu xét nghiệm cần theo dõi, cần hướng dẫn chi tiết.
(8 điểm)</t>
  </si>
  <si>
    <t>Hiểu về các chỉ số chất lượng nhưng khó khăn trong việc xác định từng chỉ tiêu xét nghiệm cụ thể.
(16 điểm)</t>
  </si>
  <si>
    <t>Xây dựng được chỉ số chất lượng cho các chỉ tiêu xét nghiệm phổ biến.
(24 điểm)</t>
  </si>
  <si>
    <t>Tự xây dựng được chỉ số chất lượng rõ ràng và phù hợp cho đa dạng chỉ tiêu xét nghiệm.
(32 điểm)</t>
  </si>
  <si>
    <t>Thành thạo trong việc xây dựng và tối ưu hóa chỉ số chất lượng cho tất cả chỉ tiêu xét nghiệm, và có khả năng hướng dẫn đồng nghiệp.
(40 điểm)</t>
  </si>
  <si>
    <t>Thành thạo trong việc đánh giá chỉ số chất lượng, cải tiến liên tục và có khả năng tối ưu hóa các quy trình thực tiễn dựa trên đánh giá chỉ số chất lượng.
(60 điểm)</t>
  </si>
  <si>
    <t>Có theo dõi nhưng chưa thể đánh giá hiệu quả chỉ số chất lượng rõ ràng
(15 điểm)</t>
  </si>
  <si>
    <t>Bắt đầu đánh giá hiệu quả của chỉ số chất lượng và áp dụng vào thực tiễn nhưng chưa tối ưu
(30 điểm)</t>
  </si>
  <si>
    <t>Theo dõi và đánh giá chỉ số chất lượng một cách có hệ thống và ứng dụng hiệu quả vào quy trình.
(45 điểm)</t>
  </si>
  <si>
    <t>Hiểu sơ bộ về quá trình xét nghiệm và có thể tham gia cải tiến dưới sự hướng dẫn
(20 điểm)</t>
  </si>
  <si>
    <t>Có khả năng cải tiến các phần của quy trình xét nghiệm nhưng cần sự hỗ trợ.
(40 điểm)</t>
  </si>
  <si>
    <t>Thực hiện cải tiến các quy trình xét nghiệm một cách độc lập và hiệu quả.
(60 điểm)</t>
  </si>
  <si>
    <t>Thành thạo trong việc cải tiến và phát triển toàn bộ quy trình xét nghiệm (trước, trong và sau) và có khả năng hướng dẫn nhân viên khác trong việc này.
(80 điểm)</t>
  </si>
  <si>
    <r>
      <t xml:space="preserve">Biết cách tìm và trích dẫn tài liệu liên quan đến nghiên cứu có giá trị
Biết sử dụng phần mềm nhập liệu và phân tích số liệu (SPSS, STATA, R, …)  nhưng cần sử hỗ trợ 
</t>
    </r>
    <r>
      <rPr>
        <sz val="13"/>
        <color indexed="8"/>
        <rFont val="Times New Roman"/>
        <family val="1"/>
      </rPr>
      <t>(6 điểm)</t>
    </r>
  </si>
  <si>
    <r>
      <rPr>
        <sz val="13"/>
        <rFont val="Times New Roman"/>
        <family val="1"/>
      </rPr>
      <t>Chủ nhiệm</t>
    </r>
    <r>
      <rPr>
        <sz val="13"/>
        <color indexed="8"/>
        <rFont val="Times New Roman"/>
        <family val="1"/>
      </rPr>
      <t xml:space="preserve"> đề tài cấp cơ sở, có công bố trên tạp chí trong nước (≥2 bài/năm);
Hoặc chủ nhiệm đề tài cấp Thành phố (tính 1 lần)</t>
    </r>
  </si>
  <si>
    <r>
      <t xml:space="preserve">Cao đẳng/Trung học </t>
    </r>
    <r>
      <rPr>
        <sz val="13"/>
        <color rgb="FFFF0000"/>
        <rFont val="Times New Roman"/>
        <family val="1"/>
      </rPr>
      <t>Kỹ thuật y học</t>
    </r>
    <r>
      <rPr>
        <sz val="13"/>
        <color theme="1"/>
        <rFont val="Times New Roman"/>
        <family val="1"/>
      </rPr>
      <t xml:space="preserve"> từ trường ĐH/CĐ khác</t>
    </r>
  </si>
  <si>
    <r>
      <t xml:space="preserve">Cao đẳng/Trung học </t>
    </r>
    <r>
      <rPr>
        <sz val="13"/>
        <color rgb="FFFF0000"/>
        <rFont val="Times New Roman"/>
        <family val="1"/>
      </rPr>
      <t>Kỹ thuật y học</t>
    </r>
    <r>
      <rPr>
        <sz val="13"/>
        <color theme="1"/>
        <rFont val="Times New Roman"/>
        <family val="1"/>
      </rPr>
      <t xml:space="preserve"> từ ĐH Quốc tế Hồng Bàng</t>
    </r>
  </si>
  <si>
    <r>
      <t xml:space="preserve">Cao đẳng/Trung học </t>
    </r>
    <r>
      <rPr>
        <sz val="13"/>
        <color rgb="FFFF0000"/>
        <rFont val="Times New Roman"/>
        <family val="1"/>
      </rPr>
      <t>Kỹ thuật y học</t>
    </r>
    <r>
      <rPr>
        <sz val="13"/>
        <color theme="1"/>
        <rFont val="Times New Roman"/>
        <family val="1"/>
      </rPr>
      <t xml:space="preserve"> từ ĐH Y khoa Phạm Ngọc Thạch</t>
    </r>
  </si>
  <si>
    <r>
      <t xml:space="preserve">Cao đẳng/Trung học </t>
    </r>
    <r>
      <rPr>
        <sz val="13"/>
        <color rgb="FFFF0000"/>
        <rFont val="Times New Roman"/>
        <family val="1"/>
      </rPr>
      <t>Kỹ thuật y học</t>
    </r>
    <r>
      <rPr>
        <sz val="13"/>
        <rFont val="Times New Roman"/>
        <family val="1"/>
      </rPr>
      <t xml:space="preserve"> ĐHYD TP HCM</t>
    </r>
  </si>
  <si>
    <r>
      <t xml:space="preserve">ĐH Y Dược Huế, ĐH Y Dược Cần Thơ, ĐH </t>
    </r>
    <r>
      <rPr>
        <sz val="13"/>
        <color rgb="FFFF0000"/>
        <rFont val="Times New Roman"/>
        <family val="1"/>
      </rPr>
      <t>Kỹ thuật y học</t>
    </r>
    <r>
      <rPr>
        <sz val="13"/>
        <color theme="1"/>
        <rFont val="Times New Roman"/>
        <family val="1"/>
      </rPr>
      <t xml:space="preserve"> Nam Định, ĐH Nguyễn Tất Thành, các Trường ĐH khác</t>
    </r>
  </si>
  <si>
    <r>
      <t xml:space="preserve">Tuân thủ các chính sách, quy trình về phòng ngừa cách ly và kiểm soát nhiễm khuẩn (kiểm soát môi trường </t>
    </r>
    <r>
      <rPr>
        <sz val="13"/>
        <color rgb="FFFF0000"/>
        <rFont val="Times New Roman"/>
        <family val="1"/>
      </rPr>
      <t>phân tích xét nghiệm</t>
    </r>
    <r>
      <rPr>
        <sz val="13"/>
        <color theme="1"/>
        <rFont val="Times New Roman"/>
        <family val="1"/>
      </rPr>
      <t>, quản lý và xử lý chất thải)</t>
    </r>
  </si>
  <si>
    <t>Đánh giá được hiệu quả kinh tế của các kỹ thuật xét nghiệm triển khai tại bệnh viện</t>
  </si>
  <si>
    <t>Xây dựng kế hoạch sử dụng các nguồn lực trong xét nghiệm trong phạm vi phân công hiệu quả</t>
  </si>
  <si>
    <t>Sử dụng thành thạo các trang thiết bị, phương tiện sử dụng trong xét nghiệm an toàn, hiệu quả</t>
  </si>
  <si>
    <t>Tuân thủ các chính sách, quy trình về phòng ngừa cách ly và kiểm soát nhiễm khuẩn (kiểm soát môi trường phân tích xét nghiệm, quản lý và xử lý chất thải)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</si>
</sst>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6"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b/>
      <sz val="18"/>
      <color rgb="FF0070C0"/>
      <name val="Times New Roman"/>
      <family val="1"/>
    </font>
    <font>
      <b/>
      <sz val="10"/>
      <name val="Times New Roman"/>
      <family val="1"/>
    </font>
    <font>
      <sz val="10"/>
      <name val="Times New Roman"/>
      <family val="1"/>
    </font>
    <font>
      <sz val="11"/>
      <color theme="1"/>
      <name val="Times New Roman"/>
      <family val="1"/>
    </font>
    <font>
      <sz val="12"/>
      <name val="Times New Roman"/>
      <family val="1"/>
    </font>
    <font>
      <b/>
      <sz val="13"/>
      <color theme="1"/>
      <name val="Times New Roman"/>
      <family val="1"/>
    </font>
    <font>
      <b/>
      <sz val="13"/>
      <color theme="0"/>
      <name val="Times New Roman"/>
      <family val="1"/>
    </font>
    <font>
      <b/>
      <sz val="11"/>
      <color theme="2" tint="-0.249977111117893"/>
      <name val="Times New Roman"/>
      <family val="1"/>
    </font>
    <font>
      <b/>
      <sz val="16"/>
      <color theme="0"/>
      <name val="Times New Roman"/>
      <family val="1"/>
    </font>
    <font>
      <b/>
      <sz val="10"/>
      <color theme="0"/>
      <name val="Times New Roman"/>
      <family val="1"/>
    </font>
    <font>
      <i/>
      <sz val="10"/>
      <color theme="1"/>
      <name val="Times New Roman"/>
      <family val="1"/>
    </font>
    <font>
      <b/>
      <sz val="10"/>
      <color theme="1"/>
      <name val="Times New Roman"/>
      <family val="1"/>
    </font>
    <font>
      <i/>
      <sz val="10"/>
      <name val="Times New Roman"/>
      <family val="1"/>
    </font>
    <font>
      <b/>
      <i/>
      <sz val="10"/>
      <color theme="1"/>
      <name val="Times New Roman"/>
      <family val="1"/>
    </font>
    <font>
      <sz val="10"/>
      <color theme="1"/>
      <name val="Times New Roman"/>
      <family val="1"/>
    </font>
    <font>
      <sz val="12"/>
      <color theme="1" tint="4.9989318521683403E-2"/>
      <name val="Times New Roman"/>
      <family val="1"/>
    </font>
    <font>
      <sz val="12"/>
      <color indexed="8"/>
      <name val="Times New Roman"/>
      <family val="1"/>
    </font>
    <font>
      <b/>
      <sz val="13"/>
      <color theme="2" tint="-0.749992370372631"/>
      <name val="Times New Roman"/>
      <family val="1"/>
    </font>
    <font>
      <b/>
      <i/>
      <sz val="13"/>
      <color theme="1" tint="0.499984740745262"/>
      <name val="Times New Roman"/>
      <family val="1"/>
    </font>
    <font>
      <b/>
      <sz val="11.5"/>
      <color theme="3" tint="-0.249977111117893"/>
      <name val="Times New Roman"/>
      <family val="1"/>
    </font>
    <font>
      <b/>
      <sz val="12"/>
      <color theme="3" tint="-0.249977111117893"/>
      <name val="Times New Roman"/>
      <family val="1"/>
    </font>
    <font>
      <b/>
      <sz val="11"/>
      <color theme="1"/>
      <name val="Times New Roman"/>
      <family val="1"/>
    </font>
    <font>
      <b/>
      <sz val="24"/>
      <color theme="1"/>
      <name val="Times New Roman"/>
      <family val="1"/>
    </font>
    <font>
      <b/>
      <sz val="14"/>
      <color theme="1"/>
      <name val="Times New Roman"/>
      <family val="1"/>
    </font>
    <font>
      <b/>
      <sz val="13"/>
      <name val="Times New Roman"/>
      <family val="1"/>
    </font>
    <font>
      <i/>
      <sz val="11"/>
      <name val="Times New Roman"/>
      <family val="1"/>
    </font>
    <font>
      <i/>
      <sz val="11"/>
      <color indexed="8"/>
      <name val="Times New Roman"/>
      <family val="1"/>
    </font>
    <font>
      <sz val="12"/>
      <color theme="0" tint="-0.34998626667073579"/>
      <name val="Times New Roman"/>
      <family val="1"/>
    </font>
    <font>
      <sz val="14"/>
      <name val="Times New Roman"/>
      <family val="1"/>
    </font>
    <font>
      <sz val="14"/>
      <name val="Calibri"/>
      <family val="2"/>
    </font>
    <font>
      <i/>
      <sz val="12"/>
      <color theme="1"/>
      <name val="Times New Roman"/>
      <family val="1"/>
    </font>
    <font>
      <sz val="13"/>
      <name val="Times New Roman"/>
      <family val="1"/>
    </font>
    <font>
      <sz val="13"/>
      <color theme="1"/>
      <name val="Times New Roman"/>
      <family val="1"/>
    </font>
    <font>
      <b/>
      <sz val="13"/>
      <color rgb="FF0070C0"/>
      <name val="Times New Roman"/>
      <family val="1"/>
    </font>
    <font>
      <b/>
      <sz val="14"/>
      <color rgb="FF0070C0"/>
      <name val="Times New Roman"/>
      <family val="1"/>
    </font>
    <font>
      <i/>
      <sz val="13"/>
      <color theme="1"/>
      <name val="Times New Roman"/>
      <family val="1"/>
    </font>
    <font>
      <b/>
      <sz val="13"/>
      <color theme="2" tint="-0.249977111117893"/>
      <name val="Times New Roman"/>
      <family val="1"/>
    </font>
    <font>
      <i/>
      <sz val="13"/>
      <color indexed="8"/>
      <name val="Times New Roman"/>
      <family val="1"/>
    </font>
    <font>
      <sz val="13"/>
      <color theme="1" tint="4.9989318521683403E-2"/>
      <name val="Times New Roman"/>
      <family val="1"/>
    </font>
    <font>
      <sz val="13"/>
      <color indexed="8"/>
      <name val="Times New Roman"/>
      <family val="1"/>
    </font>
    <font>
      <i/>
      <sz val="13"/>
      <name val="Times New Roman"/>
      <family val="1"/>
    </font>
    <font>
      <sz val="13"/>
      <color rgb="FFFF0000"/>
      <name val="Times New Roman"/>
      <family val="1"/>
    </font>
    <font>
      <b/>
      <sz val="13"/>
      <color indexed="8"/>
      <name val="Times New Roman"/>
      <family val="1"/>
    </font>
    <font>
      <sz val="13"/>
      <color theme="0"/>
      <name val="Times New Roman"/>
      <family val="1"/>
    </font>
    <font>
      <sz val="12"/>
      <color theme="0"/>
      <name val="Times New Roman"/>
      <family val="1"/>
    </font>
    <font>
      <sz val="13"/>
      <color indexed="8"/>
      <name val="Arial"/>
      <family val="2"/>
    </font>
    <font>
      <sz val="13"/>
      <name val="Wingdings 3"/>
      <family val="1"/>
      <charset val="2"/>
    </font>
    <font>
      <sz val="10"/>
      <color theme="0"/>
      <name val="Times New Roman"/>
      <family val="1"/>
    </font>
    <font>
      <b/>
      <sz val="13"/>
      <color theme="3" tint="-0.249977111117893"/>
      <name val="Times New Roman"/>
      <family val="1"/>
    </font>
    <font>
      <b/>
      <sz val="15"/>
      <color indexed="30"/>
      <name val="Times New Roman"/>
      <family val="1"/>
    </font>
    <font>
      <i/>
      <sz val="9"/>
      <color indexed="8"/>
      <name val="Times New Roman"/>
      <family val="1"/>
    </font>
    <font>
      <i/>
      <sz val="10"/>
      <color indexed="8"/>
      <name val="Times New Roman"/>
      <family val="1"/>
    </font>
    <font>
      <b/>
      <sz val="10"/>
      <color indexed="8"/>
      <name val="Times New Roman"/>
      <family val="1"/>
    </font>
    <font>
      <sz val="10"/>
      <color indexed="8"/>
      <name val="Times New Roman"/>
      <family val="1"/>
    </font>
    <font>
      <sz val="10"/>
      <color theme="1"/>
      <name val="Calibri"/>
      <family val="2"/>
      <scheme val="minor"/>
    </font>
    <font>
      <b/>
      <sz val="16"/>
      <color rgb="FFC00000"/>
      <name val="Times New Roman"/>
      <family val="1"/>
    </font>
    <font>
      <b/>
      <i/>
      <sz val="13"/>
      <color theme="1"/>
      <name val="Times New Roman"/>
      <family val="1"/>
    </font>
    <font>
      <b/>
      <sz val="9"/>
      <color theme="1"/>
      <name val="Times New Roman"/>
      <family val="1"/>
    </font>
    <font>
      <i/>
      <sz val="13"/>
      <color rgb="FFFF0000"/>
      <name val="Times New Roman"/>
      <family val="1"/>
    </font>
    <font>
      <sz val="12"/>
      <color rgb="FFFF0000"/>
      <name val="Times New Roman"/>
      <family val="1"/>
    </font>
    <font>
      <b/>
      <sz val="13"/>
      <color rgb="FFFF0000"/>
      <name val="Times New Roman"/>
      <family val="1"/>
    </font>
    <font>
      <b/>
      <sz val="14"/>
      <color rgb="FFFF0000"/>
      <name val="Times New Roman"/>
      <family val="1"/>
    </font>
  </fonts>
  <fills count="42">
    <fill>
      <patternFill patternType="none"/>
    </fill>
    <fill>
      <patternFill patternType="gray125"/>
    </fill>
    <fill>
      <patternFill patternType="solid">
        <fgColor theme="5" tint="0.79995117038483843"/>
        <bgColor indexed="64"/>
      </patternFill>
    </fill>
    <fill>
      <patternFill patternType="solid">
        <fgColor theme="5" tint="-0.499984740745262"/>
        <bgColor indexed="64"/>
      </patternFill>
    </fill>
    <fill>
      <patternFill patternType="solid">
        <fgColor theme="7" tint="0.79995117038483843"/>
        <bgColor indexed="64"/>
      </patternFill>
    </fill>
    <fill>
      <patternFill patternType="solid">
        <fgColor theme="7" tint="-0.499984740745262"/>
        <bgColor indexed="64"/>
      </patternFill>
    </fill>
    <fill>
      <patternFill patternType="solid">
        <fgColor theme="6" tint="0.79995117038483843"/>
        <bgColor indexed="64"/>
      </patternFill>
    </fill>
    <fill>
      <patternFill patternType="solid">
        <fgColor theme="6" tint="-0.499984740745262"/>
        <bgColor indexed="64"/>
      </patternFill>
    </fill>
    <fill>
      <patternFill patternType="solid">
        <fgColor theme="9" tint="0.79995117038483843"/>
        <bgColor indexed="64"/>
      </patternFill>
    </fill>
    <fill>
      <patternFill patternType="solid">
        <fgColor theme="9" tint="-0.499984740745262"/>
        <bgColor indexed="64"/>
      </patternFill>
    </fill>
    <fill>
      <patternFill patternType="solid">
        <fgColor theme="3" tint="0.79995117038483843"/>
        <bgColor indexed="64"/>
      </patternFill>
    </fill>
    <fill>
      <patternFill patternType="solid">
        <fgColor theme="3" tint="-0.249977111117893"/>
        <bgColor indexed="9"/>
      </patternFill>
    </fill>
    <fill>
      <patternFill patternType="solid">
        <fgColor theme="3" tint="-0.249977111117893"/>
        <bgColor indexed="64"/>
      </patternFill>
    </fill>
    <fill>
      <gradientFill type="path" left="1" right="1">
        <stop position="0">
          <color theme="0"/>
        </stop>
        <stop position="1">
          <color theme="4" tint="0.79998168889431442"/>
        </stop>
      </gradientFill>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499984740745262"/>
        <bgColor indexed="9"/>
      </patternFill>
    </fill>
    <fill>
      <patternFill patternType="solid">
        <fgColor theme="9" tint="0.79998168889431442"/>
        <bgColor indexed="64"/>
      </patternFill>
    </fill>
    <fill>
      <gradientFill type="path" left="1" right="1">
        <stop position="0">
          <color theme="0"/>
        </stop>
        <stop position="1">
          <color theme="4" tint="0.80001220740379042"/>
        </stop>
      </gradientFill>
    </fill>
    <fill>
      <gradientFill type="path" left="0.5" right="0.5" top="0.5" bottom="0.5">
        <stop position="0">
          <color theme="0"/>
        </stop>
        <stop position="1">
          <color theme="4"/>
        </stop>
      </gradientFill>
    </fill>
    <fill>
      <gradientFill degree="270">
        <stop position="0">
          <color theme="0"/>
        </stop>
        <stop position="1">
          <color theme="4"/>
        </stop>
      </gradientFill>
    </fill>
    <fill>
      <gradientFill degree="270">
        <stop position="0">
          <color theme="0"/>
        </stop>
        <stop position="1">
          <color theme="9"/>
        </stop>
      </gradientFill>
    </fill>
    <fill>
      <gradientFill degree="270">
        <stop position="0">
          <color theme="0"/>
        </stop>
        <stop position="1">
          <color theme="5"/>
        </stop>
      </gradientFill>
    </fill>
    <fill>
      <gradientFill degree="270">
        <stop position="0">
          <color theme="0"/>
        </stop>
        <stop position="1">
          <color rgb="FF00B0F0"/>
        </stop>
      </gradientFill>
    </fill>
    <fill>
      <gradientFill degree="270">
        <stop position="0">
          <color theme="0"/>
        </stop>
        <stop position="1">
          <color theme="7"/>
        </stop>
      </gradientFill>
    </fill>
    <fill>
      <gradientFill degree="270">
        <stop position="0">
          <color theme="0"/>
        </stop>
        <stop position="1">
          <color theme="8"/>
        </stop>
      </gradientFill>
    </fill>
    <fill>
      <patternFill patternType="solid">
        <fgColor theme="0"/>
      </patternFill>
    </fill>
    <fill>
      <gradientFill type="path" left="0.5" right="0.5" top="0.5" bottom="0.5">
        <stop position="0">
          <color theme="0"/>
        </stop>
        <stop position="1">
          <color theme="9"/>
        </stop>
      </gradientFill>
    </fill>
    <fill>
      <patternFill patternType="solid">
        <fgColor theme="5" tint="0.39997558519241921"/>
        <bgColor indexed="64"/>
      </patternFill>
    </fill>
    <fill>
      <patternFill patternType="solid">
        <fgColor theme="6"/>
        <bgColor indexed="64"/>
      </patternFill>
    </fill>
    <fill>
      <patternFill patternType="solid">
        <fgColor theme="7" tint="0.39997558519241921"/>
        <bgColor indexed="64"/>
      </patternFill>
    </fill>
    <fill>
      <patternFill patternType="solid">
        <fgColor theme="8"/>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6" tint="-0.249977111117893"/>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hair">
        <color auto="1"/>
      </right>
      <top style="thin">
        <color auto="1"/>
      </top>
      <bottom/>
      <diagonal/>
    </border>
    <border>
      <left style="hair">
        <color auto="1"/>
      </left>
      <right style="hair">
        <color auto="1"/>
      </right>
      <top style="thin">
        <color auto="1"/>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style="hair">
        <color auto="1"/>
      </right>
      <top/>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thin">
        <color auto="1"/>
      </bottom>
      <diagonal/>
    </border>
    <border>
      <left style="hair">
        <color auto="1"/>
      </left>
      <right style="hair">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thin">
        <color auto="1"/>
      </left>
      <right style="hair">
        <color auto="1"/>
      </right>
      <top style="thin">
        <color auto="1"/>
      </top>
      <bottom/>
      <diagonal/>
    </border>
    <border>
      <left style="thin">
        <color auto="1"/>
      </left>
      <right style="hair">
        <color auto="1"/>
      </right>
      <top/>
      <bottom/>
      <diagonal/>
    </border>
    <border>
      <left style="thin">
        <color auto="1"/>
      </left>
      <right style="hair">
        <color auto="1"/>
      </right>
      <top/>
      <bottom style="thin">
        <color auto="1"/>
      </bottom>
      <diagonal/>
    </border>
    <border>
      <left style="thin">
        <color auto="1"/>
      </left>
      <right/>
      <top/>
      <bottom/>
      <diagonal/>
    </border>
    <border>
      <left/>
      <right style="thin">
        <color indexed="64"/>
      </right>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auto="1"/>
      </left>
      <right/>
      <top/>
      <bottom style="hair">
        <color auto="1"/>
      </bottom>
      <diagonal/>
    </border>
    <border>
      <left/>
      <right style="thin">
        <color indexed="64"/>
      </right>
      <top/>
      <bottom style="hair">
        <color indexed="64"/>
      </bottom>
      <diagonal/>
    </border>
  </borders>
  <cellStyleXfs count="4">
    <xf numFmtId="0" fontId="0" fillId="0" borderId="0"/>
    <xf numFmtId="43" fontId="1" fillId="0" borderId="0" applyFont="0" applyFill="0" applyBorder="0" applyAlignment="0" applyProtection="0"/>
    <xf numFmtId="0" fontId="1" fillId="0" borderId="0"/>
    <xf numFmtId="0" fontId="1" fillId="0" borderId="0"/>
  </cellStyleXfs>
  <cellXfs count="600">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164" fontId="2" fillId="0" borderId="0" xfId="1" applyNumberFormat="1" applyFont="1" applyAlignment="1">
      <alignment horizontal="center" vertical="center"/>
    </xf>
    <xf numFmtId="0" fontId="3"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xf>
    <xf numFmtId="0" fontId="5" fillId="0" borderId="1" xfId="0" applyFont="1" applyBorder="1" applyAlignment="1">
      <alignment vertical="center" wrapText="1"/>
    </xf>
    <xf numFmtId="0" fontId="7"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11" fillId="3" borderId="7" xfId="0" applyFont="1" applyFill="1" applyBorder="1" applyAlignment="1">
      <alignment horizontal="center" vertical="center" wrapText="1"/>
    </xf>
    <xf numFmtId="0" fontId="10" fillId="0" borderId="0" xfId="0" applyFont="1" applyAlignment="1">
      <alignment vertical="center"/>
    </xf>
    <xf numFmtId="164" fontId="12" fillId="3" borderId="10" xfId="0" applyNumberFormat="1" applyFont="1" applyFill="1" applyBorder="1" applyAlignment="1">
      <alignment horizontal="right" vertical="center" wrapText="1"/>
    </xf>
    <xf numFmtId="0" fontId="3" fillId="0" borderId="13" xfId="0" applyFont="1" applyBorder="1" applyAlignment="1">
      <alignment vertical="center" wrapText="1"/>
    </xf>
    <xf numFmtId="164" fontId="3" fillId="0" borderId="14" xfId="1" applyNumberFormat="1" applyFont="1" applyFill="1" applyBorder="1" applyAlignment="1">
      <alignment horizontal="center" vertical="center" wrapText="1"/>
    </xf>
    <xf numFmtId="0" fontId="3" fillId="0" borderId="0" xfId="0" applyFont="1" applyAlignment="1">
      <alignment vertical="center" wrapText="1"/>
    </xf>
    <xf numFmtId="0" fontId="3" fillId="0" borderId="17" xfId="0" applyFont="1" applyBorder="1" applyAlignment="1">
      <alignment vertical="center" wrapText="1"/>
    </xf>
    <xf numFmtId="164" fontId="3" fillId="0" borderId="19" xfId="1" applyNumberFormat="1" applyFont="1" applyFill="1" applyBorder="1" applyAlignment="1">
      <alignment horizontal="center" vertical="center" wrapText="1"/>
    </xf>
    <xf numFmtId="0" fontId="3" fillId="0" borderId="22" xfId="0" applyFont="1" applyBorder="1" applyAlignment="1">
      <alignment vertical="center" wrapText="1"/>
    </xf>
    <xf numFmtId="164" fontId="3" fillId="0" borderId="23" xfId="1" applyNumberFormat="1" applyFont="1" applyFill="1" applyBorder="1" applyAlignment="1">
      <alignment horizontal="center" vertical="center" wrapText="1"/>
    </xf>
    <xf numFmtId="0" fontId="3" fillId="0" borderId="24" xfId="0" applyFont="1" applyBorder="1" applyAlignment="1">
      <alignment horizontal="center" vertical="center" wrapText="1"/>
    </xf>
    <xf numFmtId="0" fontId="3" fillId="0" borderId="13" xfId="0" applyFont="1" applyBorder="1" applyAlignment="1">
      <alignment horizontal="left" vertical="center" wrapText="1"/>
    </xf>
    <xf numFmtId="164" fontId="3" fillId="0" borderId="13" xfId="1" applyNumberFormat="1"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left" vertical="center" wrapText="1"/>
    </xf>
    <xf numFmtId="164" fontId="3" fillId="0" borderId="22" xfId="1" applyNumberFormat="1" applyFont="1" applyFill="1" applyBorder="1" applyAlignment="1">
      <alignment horizontal="center" vertical="center" wrapText="1"/>
    </xf>
    <xf numFmtId="164" fontId="3" fillId="0" borderId="25" xfId="1" applyNumberFormat="1" applyFont="1" applyFill="1" applyBorder="1" applyAlignment="1">
      <alignment horizontal="center" vertical="center" wrapText="1"/>
    </xf>
    <xf numFmtId="0" fontId="15" fillId="0" borderId="0" xfId="0" applyFont="1"/>
    <xf numFmtId="0" fontId="3" fillId="0" borderId="0" xfId="0" applyFont="1" applyAlignment="1">
      <alignment wrapText="1"/>
    </xf>
    <xf numFmtId="0" fontId="16" fillId="0" borderId="0" xfId="0" applyFont="1" applyAlignment="1">
      <alignment wrapText="1"/>
    </xf>
    <xf numFmtId="0" fontId="5" fillId="0" borderId="0" xfId="0" applyFont="1" applyAlignment="1">
      <alignment wrapText="1"/>
    </xf>
    <xf numFmtId="0" fontId="17" fillId="0" borderId="0" xfId="0" applyFont="1" applyAlignment="1">
      <alignment vertical="center"/>
    </xf>
    <xf numFmtId="0" fontId="18" fillId="0" borderId="0" xfId="0" applyFont="1" applyAlignment="1">
      <alignment vertical="center" wrapText="1"/>
    </xf>
    <xf numFmtId="0" fontId="5" fillId="0" borderId="0" xfId="0" applyFont="1" applyAlignment="1">
      <alignment horizontal="left" vertical="center" wrapText="1"/>
    </xf>
    <xf numFmtId="0" fontId="18" fillId="0" borderId="0" xfId="0" applyFont="1" applyAlignment="1">
      <alignment vertical="center"/>
    </xf>
    <xf numFmtId="0" fontId="18" fillId="0" borderId="0" xfId="0" quotePrefix="1" applyFont="1" applyAlignment="1">
      <alignment horizontal="left" vertical="center" wrapText="1"/>
    </xf>
    <xf numFmtId="0" fontId="18" fillId="0" borderId="0" xfId="0" applyFont="1" applyAlignment="1">
      <alignment horizontal="left" vertical="center" wrapText="1"/>
    </xf>
    <xf numFmtId="0" fontId="18" fillId="0" borderId="0" xfId="0" quotePrefix="1" applyFont="1" applyAlignment="1">
      <alignment vertical="center"/>
    </xf>
    <xf numFmtId="0" fontId="18" fillId="0" borderId="0" xfId="0" quotePrefix="1" applyFont="1" applyAlignment="1">
      <alignment horizontal="right" vertical="center" wrapText="1"/>
    </xf>
    <xf numFmtId="0" fontId="10" fillId="5" borderId="6"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0" fillId="5" borderId="9" xfId="0" applyFont="1" applyFill="1" applyBorder="1" applyAlignment="1">
      <alignment horizontal="center" vertical="center" wrapText="1"/>
    </xf>
    <xf numFmtId="164" fontId="12" fillId="5" borderId="10" xfId="0" applyNumberFormat="1" applyFont="1" applyFill="1" applyBorder="1" applyAlignment="1">
      <alignment horizontal="right" vertical="center" wrapText="1"/>
    </xf>
    <xf numFmtId="0" fontId="3" fillId="0" borderId="13" xfId="0" applyFont="1" applyBorder="1" applyAlignment="1">
      <alignment horizontal="center" vertical="center" wrapText="1"/>
    </xf>
    <xf numFmtId="0" fontId="8" fillId="0" borderId="13" xfId="0" applyFont="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0" fontId="3" fillId="0" borderId="22" xfId="0" applyFont="1" applyBorder="1" applyAlignment="1">
      <alignment horizontal="center" vertical="center" wrapText="1"/>
    </xf>
    <xf numFmtId="0" fontId="19" fillId="0" borderId="17" xfId="0" applyFont="1" applyBorder="1" applyAlignment="1">
      <alignment horizontal="center" vertical="center" wrapText="1"/>
    </xf>
    <xf numFmtId="0" fontId="8" fillId="0" borderId="17" xfId="0" applyFont="1" applyBorder="1" applyAlignment="1">
      <alignment vertical="center" wrapText="1"/>
    </xf>
    <xf numFmtId="0" fontId="8" fillId="0" borderId="17" xfId="0" applyFont="1" applyBorder="1" applyAlignment="1">
      <alignment horizontal="center" vertical="center" wrapText="1"/>
    </xf>
    <xf numFmtId="0" fontId="8" fillId="0" borderId="17" xfId="0" applyFont="1" applyBorder="1" applyAlignment="1">
      <alignment horizontal="left" vertical="center" wrapText="1"/>
    </xf>
    <xf numFmtId="0" fontId="8" fillId="0" borderId="0" xfId="0" applyFont="1" applyAlignment="1">
      <alignment vertical="center"/>
    </xf>
    <xf numFmtId="0" fontId="19" fillId="0" borderId="22" xfId="0" applyFont="1" applyBorder="1" applyAlignment="1">
      <alignment horizontal="center" vertical="center" wrapText="1"/>
    </xf>
    <xf numFmtId="0" fontId="10" fillId="7" borderId="6" xfId="0" applyFont="1" applyFill="1" applyBorder="1" applyAlignment="1">
      <alignment horizontal="center" vertical="center"/>
    </xf>
    <xf numFmtId="0" fontId="11" fillId="7" borderId="7" xfId="0" applyFont="1" applyFill="1" applyBorder="1" applyAlignment="1">
      <alignment horizontal="center" vertical="center" wrapText="1"/>
    </xf>
    <xf numFmtId="0" fontId="10" fillId="7" borderId="9" xfId="0" applyFont="1" applyFill="1" applyBorder="1" applyAlignment="1">
      <alignment horizontal="center" vertical="center"/>
    </xf>
    <xf numFmtId="164" fontId="12" fillId="7" borderId="10" xfId="0" applyNumberFormat="1" applyFont="1" applyFill="1" applyBorder="1" applyAlignment="1">
      <alignment horizontal="right" vertical="center" wrapText="1"/>
    </xf>
    <xf numFmtId="0" fontId="3" fillId="0" borderId="13" xfId="0" applyFont="1" applyBorder="1" applyAlignment="1">
      <alignment horizontal="left" vertical="center"/>
    </xf>
    <xf numFmtId="0" fontId="10" fillId="9" borderId="6" xfId="0" applyFont="1" applyFill="1" applyBorder="1" applyAlignment="1">
      <alignment horizontal="center" vertical="center"/>
    </xf>
    <xf numFmtId="0" fontId="11" fillId="9" borderId="7" xfId="0" applyFont="1" applyFill="1" applyBorder="1" applyAlignment="1">
      <alignment horizontal="center" vertical="center" wrapText="1"/>
    </xf>
    <xf numFmtId="0" fontId="10" fillId="9" borderId="9" xfId="0" applyFont="1" applyFill="1" applyBorder="1" applyAlignment="1">
      <alignment horizontal="center" vertical="center"/>
    </xf>
    <xf numFmtId="164" fontId="12" fillId="9" borderId="10" xfId="0" applyNumberFormat="1" applyFont="1" applyFill="1" applyBorder="1" applyAlignment="1">
      <alignment horizontal="right" vertical="center" wrapText="1"/>
    </xf>
    <xf numFmtId="164" fontId="8" fillId="0" borderId="25" xfId="1" applyNumberFormat="1" applyFont="1" applyFill="1" applyBorder="1" applyAlignment="1">
      <alignment horizontal="center" vertical="center" wrapText="1"/>
    </xf>
    <xf numFmtId="0" fontId="3" fillId="0" borderId="0" xfId="0" applyFont="1" applyAlignment="1">
      <alignment horizontal="left" vertical="center" wrapText="1"/>
    </xf>
    <xf numFmtId="0" fontId="22" fillId="11" borderId="6" xfId="0" applyFont="1" applyFill="1" applyBorder="1" applyAlignment="1">
      <alignment horizontal="center" vertical="center"/>
    </xf>
    <xf numFmtId="0" fontId="11" fillId="12" borderId="7" xfId="0" applyFont="1" applyFill="1" applyBorder="1" applyAlignment="1">
      <alignment horizontal="center" vertical="center" wrapText="1"/>
    </xf>
    <xf numFmtId="0" fontId="22" fillId="11" borderId="9" xfId="0" applyFont="1" applyFill="1" applyBorder="1" applyAlignment="1">
      <alignment horizontal="center" vertical="center"/>
    </xf>
    <xf numFmtId="164" fontId="12" fillId="12" borderId="10" xfId="0" applyNumberFormat="1" applyFont="1" applyFill="1" applyBorder="1" applyAlignment="1">
      <alignment horizontal="right" vertical="center" wrapText="1"/>
    </xf>
    <xf numFmtId="0" fontId="3" fillId="0" borderId="18" xfId="0" applyFont="1" applyBorder="1" applyAlignment="1">
      <alignment vertical="center" wrapText="1"/>
    </xf>
    <xf numFmtId="164" fontId="3" fillId="14" borderId="25" xfId="1" applyNumberFormat="1" applyFont="1" applyFill="1" applyBorder="1" applyAlignment="1">
      <alignment horizontal="center" vertical="center" wrapText="1"/>
    </xf>
    <xf numFmtId="0" fontId="15" fillId="0" borderId="0" xfId="0" applyFont="1" applyAlignment="1">
      <alignment vertical="center"/>
    </xf>
    <xf numFmtId="0" fontId="25" fillId="0" borderId="0" xfId="0" applyFont="1" applyAlignment="1">
      <alignment horizontal="right" vertical="center"/>
    </xf>
    <xf numFmtId="0" fontId="3" fillId="0" borderId="39" xfId="0" applyFont="1" applyBorder="1" applyAlignment="1">
      <alignment horizontal="center" vertical="center" wrapText="1"/>
    </xf>
    <xf numFmtId="164" fontId="3" fillId="0" borderId="40" xfId="1" applyNumberFormat="1" applyFont="1" applyFill="1" applyBorder="1" applyAlignment="1">
      <alignment horizontal="center" vertical="center" wrapText="1"/>
    </xf>
    <xf numFmtId="0" fontId="3" fillId="0" borderId="39" xfId="0" applyFont="1" applyBorder="1" applyAlignment="1">
      <alignment vertical="center" wrapText="1"/>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164" fontId="3" fillId="0" borderId="19" xfId="1" applyNumberFormat="1" applyFont="1" applyFill="1" applyBorder="1" applyAlignment="1">
      <alignment vertical="center" wrapText="1"/>
    </xf>
    <xf numFmtId="164" fontId="3" fillId="0" borderId="25" xfId="1" applyNumberFormat="1" applyFont="1" applyFill="1" applyBorder="1" applyAlignment="1">
      <alignment vertical="center" wrapText="1"/>
    </xf>
    <xf numFmtId="164" fontId="2" fillId="0" borderId="0" xfId="1" applyNumberFormat="1" applyFont="1" applyAlignment="1">
      <alignment vertical="center"/>
    </xf>
    <xf numFmtId="0" fontId="28" fillId="22" borderId="1" xfId="0" applyFont="1" applyFill="1" applyBorder="1" applyAlignment="1">
      <alignment horizontal="center" vertical="center"/>
    </xf>
    <xf numFmtId="0" fontId="28" fillId="23" borderId="1" xfId="0" applyFont="1" applyFill="1" applyBorder="1" applyAlignment="1">
      <alignment horizontal="center" vertical="center" wrapText="1"/>
    </xf>
    <xf numFmtId="0" fontId="28" fillId="24" borderId="1" xfId="0" applyFont="1" applyFill="1" applyBorder="1" applyAlignment="1">
      <alignment horizontal="center" vertical="center" wrapText="1"/>
    </xf>
    <xf numFmtId="0" fontId="28" fillId="25" borderId="1" xfId="0" applyFont="1" applyFill="1" applyBorder="1" applyAlignment="1">
      <alignment horizontal="center" vertical="center" wrapText="1"/>
    </xf>
    <xf numFmtId="0" fontId="28" fillId="26" borderId="1" xfId="0" applyFont="1" applyFill="1" applyBorder="1" applyAlignment="1">
      <alignment horizontal="center" vertical="center" wrapText="1"/>
    </xf>
    <xf numFmtId="0" fontId="28" fillId="27" borderId="1" xfId="0" applyFont="1" applyFill="1" applyBorder="1" applyAlignment="1">
      <alignment horizontal="center" vertical="center" wrapText="1"/>
    </xf>
    <xf numFmtId="0" fontId="29" fillId="28" borderId="1" xfId="0" applyFont="1" applyFill="1" applyBorder="1" applyAlignment="1">
      <alignment horizontal="center" vertical="center"/>
    </xf>
    <xf numFmtId="0" fontId="29" fillId="28" borderId="1" xfId="0" applyFont="1" applyFill="1" applyBorder="1" applyAlignment="1">
      <alignment horizontal="center" vertical="center" wrapText="1"/>
    </xf>
    <xf numFmtId="0" fontId="28" fillId="21" borderId="1" xfId="0" applyFont="1" applyFill="1" applyBorder="1" applyAlignment="1">
      <alignment horizontal="center" vertical="center"/>
    </xf>
    <xf numFmtId="0" fontId="3" fillId="0" borderId="1" xfId="0" applyFont="1" applyBorder="1" applyAlignment="1">
      <alignment horizontal="center" vertical="center" wrapText="1"/>
    </xf>
    <xf numFmtId="0" fontId="8" fillId="0" borderId="1" xfId="0" applyFont="1" applyBorder="1" applyAlignment="1">
      <alignment horizontal="center" vertical="center" wrapText="1"/>
    </xf>
    <xf numFmtId="0" fontId="25" fillId="0" borderId="1" xfId="0" applyFont="1" applyBorder="1" applyAlignment="1">
      <alignment horizontal="left" vertical="center"/>
    </xf>
    <xf numFmtId="0" fontId="3" fillId="0" borderId="1" xfId="0" applyFont="1" applyBorder="1" applyAlignment="1">
      <alignment horizontal="center" vertical="center"/>
    </xf>
    <xf numFmtId="164" fontId="3" fillId="0" borderId="1" xfId="1" applyNumberFormat="1" applyFont="1" applyBorder="1" applyAlignment="1">
      <alignment horizontal="center" vertical="center" wrapText="1"/>
    </xf>
    <xf numFmtId="0" fontId="8" fillId="0" borderId="1" xfId="0" applyFont="1" applyBorder="1" applyAlignment="1">
      <alignment horizontal="center" vertical="center"/>
    </xf>
    <xf numFmtId="0" fontId="25" fillId="0" borderId="1" xfId="0" applyFont="1" applyBorder="1" applyAlignment="1">
      <alignment horizontal="left" vertical="center" wrapText="1"/>
    </xf>
    <xf numFmtId="0" fontId="8" fillId="0" borderId="1" xfId="0" applyFont="1" applyBorder="1" applyAlignment="1">
      <alignment horizontal="left" vertical="center" wrapText="1"/>
    </xf>
    <xf numFmtId="0" fontId="31" fillId="0" borderId="1" xfId="0" applyFont="1" applyBorder="1" applyAlignment="1">
      <alignment horizontal="left" vertical="center" wrapText="1"/>
    </xf>
    <xf numFmtId="0" fontId="32" fillId="0" borderId="1" xfId="0" applyFont="1" applyBorder="1" applyAlignment="1">
      <alignment horizontal="center" vertical="center"/>
    </xf>
    <xf numFmtId="0" fontId="34" fillId="0" borderId="0" xfId="0" applyFont="1" applyAlignment="1">
      <alignment horizontal="left" vertical="center"/>
    </xf>
    <xf numFmtId="0" fontId="34"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164" fontId="9" fillId="0" borderId="0" xfId="1" applyNumberFormat="1" applyFont="1" applyBorder="1" applyAlignment="1">
      <alignment vertical="center"/>
    </xf>
    <xf numFmtId="0" fontId="36" fillId="0" borderId="0" xfId="0" applyFont="1" applyAlignment="1">
      <alignment horizontal="left" vertical="center"/>
    </xf>
    <xf numFmtId="0" fontId="37" fillId="0" borderId="0" xfId="0" applyFont="1" applyAlignment="1">
      <alignment horizontal="center" vertical="center"/>
    </xf>
    <xf numFmtId="0" fontId="37" fillId="0" borderId="0" xfId="0" applyFont="1" applyAlignment="1">
      <alignment vertical="center"/>
    </xf>
    <xf numFmtId="0" fontId="35" fillId="0" borderId="5" xfId="0" applyFont="1" applyBorder="1" applyAlignment="1">
      <alignment horizontal="center" vertical="center"/>
    </xf>
    <xf numFmtId="0" fontId="28" fillId="30" borderId="5" xfId="0" applyFont="1" applyFill="1" applyBorder="1" applyAlignment="1">
      <alignment horizontal="center" vertical="center" wrapText="1"/>
    </xf>
    <xf numFmtId="0" fontId="28" fillId="31" borderId="28" xfId="0" applyFont="1" applyFill="1" applyBorder="1" applyAlignment="1">
      <alignment horizontal="center" vertical="center" wrapText="1"/>
    </xf>
    <xf numFmtId="0" fontId="28" fillId="32" borderId="28" xfId="0" applyFont="1" applyFill="1" applyBorder="1" applyAlignment="1">
      <alignment horizontal="center" vertical="center" wrapText="1"/>
    </xf>
    <xf numFmtId="0" fontId="28" fillId="33" borderId="28" xfId="0" applyFont="1" applyFill="1" applyBorder="1" applyAlignment="1">
      <alignment horizontal="center" vertical="center" wrapText="1"/>
    </xf>
    <xf numFmtId="0" fontId="28" fillId="34" borderId="28" xfId="0" applyFont="1" applyFill="1" applyBorder="1" applyAlignment="1">
      <alignment horizontal="center" vertical="center" wrapText="1"/>
    </xf>
    <xf numFmtId="0" fontId="28" fillId="35" borderId="28" xfId="0" applyFont="1" applyFill="1" applyBorder="1" applyAlignment="1">
      <alignment horizontal="center" vertical="center" wrapText="1"/>
    </xf>
    <xf numFmtId="0" fontId="28" fillId="30" borderId="28" xfId="0" applyFont="1" applyFill="1" applyBorder="1" applyAlignment="1">
      <alignment horizontal="center" vertical="center" wrapText="1"/>
    </xf>
    <xf numFmtId="0" fontId="8" fillId="32" borderId="1" xfId="0" applyFont="1" applyFill="1" applyBorder="1" applyAlignment="1">
      <alignment horizontal="right" vertical="center"/>
    </xf>
    <xf numFmtId="0" fontId="35" fillId="0" borderId="29" xfId="0" applyFont="1" applyBorder="1" applyAlignment="1">
      <alignment horizontal="center" vertical="center"/>
    </xf>
    <xf numFmtId="0" fontId="8" fillId="36" borderId="1" xfId="0" applyFont="1" applyFill="1" applyBorder="1" applyAlignment="1">
      <alignment horizontal="right" vertical="center"/>
    </xf>
    <xf numFmtId="0" fontId="35" fillId="0" borderId="1" xfId="0" applyFont="1" applyBorder="1" applyAlignment="1">
      <alignment horizontal="center" vertical="center"/>
    </xf>
    <xf numFmtId="0" fontId="8" fillId="35" borderId="1" xfId="0" applyFont="1" applyFill="1" applyBorder="1" applyAlignment="1">
      <alignment horizontal="right" vertical="center"/>
    </xf>
    <xf numFmtId="0" fontId="8" fillId="37" borderId="1" xfId="0" applyFont="1" applyFill="1" applyBorder="1" applyAlignment="1">
      <alignment horizontal="right" vertical="center"/>
    </xf>
    <xf numFmtId="0" fontId="8" fillId="38" borderId="1" xfId="0" applyFont="1" applyFill="1" applyBorder="1" applyAlignment="1">
      <alignment horizontal="right" vertical="center" wrapText="1"/>
    </xf>
    <xf numFmtId="0" fontId="28" fillId="39" borderId="0" xfId="0" applyFont="1" applyFill="1" applyAlignment="1">
      <alignment horizontal="right" vertical="center" wrapText="1"/>
    </xf>
    <xf numFmtId="0" fontId="28" fillId="30" borderId="1" xfId="0" applyFont="1" applyFill="1" applyBorder="1" applyAlignment="1">
      <alignment horizontal="center" vertical="center"/>
    </xf>
    <xf numFmtId="0" fontId="28" fillId="31" borderId="1" xfId="0" applyFont="1" applyFill="1" applyBorder="1" applyAlignment="1">
      <alignment horizontal="center" vertical="center"/>
    </xf>
    <xf numFmtId="0" fontId="28" fillId="32" borderId="1" xfId="0" applyFont="1" applyFill="1" applyBorder="1" applyAlignment="1">
      <alignment horizontal="center" vertical="center"/>
    </xf>
    <xf numFmtId="0" fontId="28" fillId="33" borderId="1" xfId="0" applyFont="1" applyFill="1" applyBorder="1" applyAlignment="1">
      <alignment horizontal="center" vertical="center"/>
    </xf>
    <xf numFmtId="0" fontId="28" fillId="34" borderId="1" xfId="0" applyFont="1" applyFill="1" applyBorder="1" applyAlignment="1">
      <alignment horizontal="center" vertical="center"/>
    </xf>
    <xf numFmtId="0" fontId="28" fillId="35" borderId="1" xfId="0" applyFont="1" applyFill="1" applyBorder="1" applyAlignment="1">
      <alignment horizontal="center" vertical="center"/>
    </xf>
    <xf numFmtId="0" fontId="36" fillId="0" borderId="42" xfId="0" applyFont="1" applyBorder="1" applyAlignment="1">
      <alignment horizontal="center" vertical="center" wrapText="1"/>
    </xf>
    <xf numFmtId="0" fontId="36" fillId="0" borderId="42" xfId="0" applyFont="1" applyBorder="1" applyAlignment="1">
      <alignment horizontal="left" vertical="center" wrapText="1"/>
    </xf>
    <xf numFmtId="0" fontId="36" fillId="0" borderId="42" xfId="0" applyFont="1" applyBorder="1" applyAlignment="1">
      <alignment vertical="center" wrapText="1"/>
    </xf>
    <xf numFmtId="164" fontId="36" fillId="0" borderId="42" xfId="1" applyNumberFormat="1" applyFont="1" applyFill="1" applyBorder="1" applyAlignment="1">
      <alignment vertical="center" wrapText="1"/>
    </xf>
    <xf numFmtId="164" fontId="36" fillId="0" borderId="42" xfId="1" applyNumberFormat="1" applyFont="1" applyFill="1" applyBorder="1" applyAlignment="1">
      <alignment horizontal="center" vertical="center" wrapText="1"/>
    </xf>
    <xf numFmtId="164" fontId="36" fillId="0" borderId="42" xfId="1" applyNumberFormat="1" applyFont="1" applyFill="1" applyBorder="1" applyAlignment="1">
      <alignment horizontal="right" vertical="center" wrapText="1"/>
    </xf>
    <xf numFmtId="0" fontId="36" fillId="0" borderId="43" xfId="0" applyFont="1" applyBorder="1" applyAlignment="1">
      <alignment vertical="center" wrapText="1"/>
    </xf>
    <xf numFmtId="164" fontId="36" fillId="0" borderId="43" xfId="1" applyNumberFormat="1" applyFont="1" applyFill="1" applyBorder="1" applyAlignment="1">
      <alignment vertical="center" wrapText="1"/>
    </xf>
    <xf numFmtId="0" fontId="36" fillId="0" borderId="44" xfId="0" applyFont="1" applyBorder="1" applyAlignment="1">
      <alignment horizontal="center" vertical="center" wrapText="1"/>
    </xf>
    <xf numFmtId="0" fontId="36" fillId="0" borderId="44" xfId="0" applyFont="1" applyBorder="1" applyAlignment="1">
      <alignment vertical="center" wrapText="1"/>
    </xf>
    <xf numFmtId="164" fontId="36" fillId="0" borderId="44" xfId="1" applyNumberFormat="1" applyFont="1" applyFill="1" applyBorder="1" applyAlignment="1">
      <alignment horizontal="center" vertical="center" wrapText="1"/>
    </xf>
    <xf numFmtId="164" fontId="36" fillId="0" borderId="44" xfId="1" applyNumberFormat="1" applyFont="1" applyFill="1" applyBorder="1" applyAlignment="1">
      <alignment horizontal="right" vertical="center" wrapText="1"/>
    </xf>
    <xf numFmtId="0" fontId="36" fillId="0" borderId="45" xfId="0" applyFont="1" applyBorder="1" applyAlignment="1">
      <alignment vertical="center" wrapText="1"/>
    </xf>
    <xf numFmtId="164" fontId="36" fillId="0" borderId="45" xfId="1" applyNumberFormat="1" applyFont="1" applyFill="1" applyBorder="1" applyAlignment="1">
      <alignment horizontal="right" vertical="center" wrapText="1"/>
    </xf>
    <xf numFmtId="164" fontId="36" fillId="0" borderId="43" xfId="1" applyNumberFormat="1" applyFont="1" applyFill="1" applyBorder="1" applyAlignment="1">
      <alignment horizontal="right" vertical="center" wrapText="1"/>
    </xf>
    <xf numFmtId="0" fontId="35" fillId="0" borderId="43" xfId="0" applyFont="1" applyBorder="1" applyAlignment="1">
      <alignment vertical="center" wrapText="1"/>
    </xf>
    <xf numFmtId="164" fontId="35" fillId="0" borderId="43" xfId="1" applyNumberFormat="1" applyFont="1" applyFill="1" applyBorder="1" applyAlignment="1">
      <alignment vertical="center" wrapText="1"/>
    </xf>
    <xf numFmtId="0" fontId="36" fillId="0" borderId="46" xfId="0" applyFont="1" applyBorder="1" applyAlignment="1">
      <alignment vertical="center" wrapText="1"/>
    </xf>
    <xf numFmtId="164" fontId="36" fillId="0" borderId="46" xfId="1" applyNumberFormat="1" applyFont="1" applyFill="1" applyBorder="1" applyAlignment="1">
      <alignment horizontal="right" vertical="center" wrapText="1"/>
    </xf>
    <xf numFmtId="0" fontId="36" fillId="0" borderId="43" xfId="0" applyFont="1" applyBorder="1" applyAlignment="1">
      <alignment vertical="center"/>
    </xf>
    <xf numFmtId="0" fontId="36" fillId="0" borderId="0" xfId="0" applyFont="1" applyAlignment="1">
      <alignment horizontal="left" vertical="center" wrapText="1"/>
    </xf>
    <xf numFmtId="164" fontId="36" fillId="0" borderId="46" xfId="1" applyNumberFormat="1" applyFont="1" applyFill="1" applyBorder="1" applyAlignment="1">
      <alignment vertical="center" wrapText="1"/>
    </xf>
    <xf numFmtId="0" fontId="36" fillId="0" borderId="44" xfId="0" applyFont="1" applyBorder="1" applyAlignment="1">
      <alignment horizontal="left" vertical="center" wrapText="1"/>
    </xf>
    <xf numFmtId="164" fontId="36" fillId="0" borderId="44" xfId="1" applyNumberFormat="1" applyFont="1" applyFill="1" applyBorder="1" applyAlignment="1">
      <alignment vertical="center" wrapText="1"/>
    </xf>
    <xf numFmtId="0" fontId="40" fillId="5" borderId="37" xfId="0" applyFont="1" applyFill="1" applyBorder="1" applyAlignment="1">
      <alignment vertical="center" wrapText="1"/>
    </xf>
    <xf numFmtId="0" fontId="10" fillId="5" borderId="10" xfId="0" applyFont="1" applyFill="1" applyBorder="1" applyAlignment="1">
      <alignment vertical="center" wrapText="1"/>
    </xf>
    <xf numFmtId="0" fontId="9" fillId="17" borderId="4" xfId="0" applyFont="1" applyFill="1" applyBorder="1" applyAlignment="1">
      <alignment horizontal="center" vertical="center"/>
    </xf>
    <xf numFmtId="0" fontId="9" fillId="17" borderId="1" xfId="0" applyFont="1" applyFill="1" applyBorder="1" applyAlignment="1">
      <alignment horizontal="center" vertical="center"/>
    </xf>
    <xf numFmtId="0" fontId="36" fillId="0" borderId="1" xfId="0" applyFont="1" applyBorder="1" applyAlignment="1">
      <alignment horizontal="center" vertical="center" wrapText="1"/>
    </xf>
    <xf numFmtId="0" fontId="36" fillId="0" borderId="1" xfId="0" applyFont="1" applyBorder="1" applyAlignment="1">
      <alignment horizontal="left" vertical="center" wrapText="1"/>
    </xf>
    <xf numFmtId="0" fontId="36" fillId="0" borderId="1" xfId="0" applyFont="1" applyBorder="1" applyAlignment="1">
      <alignment vertical="center" wrapText="1"/>
    </xf>
    <xf numFmtId="164" fontId="36" fillId="0" borderId="1" xfId="1" applyNumberFormat="1" applyFont="1" applyFill="1" applyBorder="1" applyAlignment="1">
      <alignment vertical="center" wrapText="1"/>
    </xf>
    <xf numFmtId="0" fontId="36" fillId="0" borderId="4" xfId="0" applyFont="1" applyBorder="1" applyAlignment="1">
      <alignment horizontal="center" vertical="center" wrapText="1"/>
    </xf>
    <xf numFmtId="0" fontId="36" fillId="0" borderId="47" xfId="0" applyFont="1" applyBorder="1" applyAlignment="1">
      <alignment horizontal="center" vertical="center" wrapText="1"/>
    </xf>
    <xf numFmtId="0" fontId="36" fillId="0" borderId="47" xfId="0" applyFont="1" applyBorder="1" applyAlignment="1">
      <alignment horizontal="left" vertical="center" wrapText="1"/>
    </xf>
    <xf numFmtId="164" fontId="36" fillId="0" borderId="47" xfId="1" applyNumberFormat="1" applyFont="1" applyFill="1" applyBorder="1" applyAlignment="1">
      <alignment vertical="center" wrapText="1"/>
    </xf>
    <xf numFmtId="0" fontId="36" fillId="0" borderId="37" xfId="0" applyFont="1" applyBorder="1" applyAlignment="1">
      <alignment horizontal="center" vertical="center" wrapText="1"/>
    </xf>
    <xf numFmtId="0" fontId="36" fillId="0" borderId="4" xfId="0" applyFont="1" applyBorder="1" applyAlignment="1">
      <alignment vertical="center" wrapText="1"/>
    </xf>
    <xf numFmtId="0" fontId="36" fillId="0" borderId="29" xfId="0" applyFont="1" applyBorder="1" applyAlignment="1">
      <alignment horizontal="center" vertical="center" wrapText="1"/>
    </xf>
    <xf numFmtId="0" fontId="36" fillId="0" borderId="29" xfId="0" applyFont="1" applyBorder="1" applyAlignment="1">
      <alignment horizontal="left" vertical="center" wrapText="1"/>
    </xf>
    <xf numFmtId="0" fontId="36" fillId="0" borderId="29" xfId="0" applyFont="1" applyBorder="1" applyAlignment="1">
      <alignment vertical="center" wrapText="1"/>
    </xf>
    <xf numFmtId="164" fontId="36" fillId="0" borderId="29" xfId="1" applyNumberFormat="1" applyFont="1" applyFill="1" applyBorder="1" applyAlignment="1">
      <alignment vertical="center" wrapText="1"/>
    </xf>
    <xf numFmtId="0" fontId="36" fillId="0" borderId="10" xfId="0" applyFont="1" applyBorder="1" applyAlignment="1">
      <alignment vertical="center" wrapText="1"/>
    </xf>
    <xf numFmtId="0" fontId="36" fillId="0" borderId="4" xfId="0" applyFont="1" applyBorder="1" applyAlignment="1">
      <alignment horizontal="left" vertical="center" wrapText="1"/>
    </xf>
    <xf numFmtId="0" fontId="36" fillId="40" borderId="50" xfId="0" applyFont="1" applyFill="1" applyBorder="1" applyAlignment="1">
      <alignment horizontal="left" vertical="center" wrapText="1"/>
    </xf>
    <xf numFmtId="0" fontId="36" fillId="40" borderId="44" xfId="0" applyFont="1" applyFill="1" applyBorder="1" applyAlignment="1">
      <alignment horizontal="left" vertical="center" wrapText="1"/>
    </xf>
    <xf numFmtId="0" fontId="10" fillId="7" borderId="1" xfId="0" applyFont="1" applyFill="1" applyBorder="1" applyAlignment="1">
      <alignment vertical="center" wrapText="1"/>
    </xf>
    <xf numFmtId="0" fontId="48" fillId="0" borderId="0" xfId="0" applyFont="1" applyAlignment="1">
      <alignment vertical="center"/>
    </xf>
    <xf numFmtId="164" fontId="10" fillId="18" borderId="1" xfId="0" applyNumberFormat="1" applyFont="1" applyFill="1" applyBorder="1" applyAlignment="1">
      <alignment vertical="center"/>
    </xf>
    <xf numFmtId="0" fontId="36" fillId="0" borderId="42" xfId="0" quotePrefix="1" applyFont="1" applyBorder="1" applyAlignment="1">
      <alignment vertical="center" wrapText="1"/>
    </xf>
    <xf numFmtId="0" fontId="36" fillId="40" borderId="42" xfId="0" applyFont="1" applyFill="1" applyBorder="1" applyAlignment="1">
      <alignment horizontal="left" vertical="center" wrapText="1"/>
    </xf>
    <xf numFmtId="0" fontId="36" fillId="0" borderId="44" xfId="0" quotePrefix="1" applyFont="1" applyBorder="1" applyAlignment="1">
      <alignment vertical="center" wrapText="1"/>
    </xf>
    <xf numFmtId="164" fontId="36" fillId="0" borderId="4" xfId="1" applyNumberFormat="1" applyFont="1" applyFill="1" applyBorder="1" applyAlignment="1">
      <alignment horizontal="left" vertical="center" wrapText="1"/>
    </xf>
    <xf numFmtId="0" fontId="45" fillId="0" borderId="1" xfId="0" applyFont="1" applyBorder="1" applyAlignment="1">
      <alignment horizontal="center" vertical="center" wrapText="1"/>
    </xf>
    <xf numFmtId="0" fontId="45" fillId="0" borderId="1" xfId="0" applyFont="1" applyBorder="1" applyAlignment="1">
      <alignment horizontal="left" vertical="center" wrapText="1"/>
    </xf>
    <xf numFmtId="0" fontId="45" fillId="0" borderId="1" xfId="0" applyFont="1" applyBorder="1" applyAlignment="1">
      <alignment vertical="center" wrapText="1"/>
    </xf>
    <xf numFmtId="0" fontId="10" fillId="9" borderId="1" xfId="0" applyFont="1" applyFill="1" applyBorder="1" applyAlignment="1">
      <alignment vertical="center" wrapText="1"/>
    </xf>
    <xf numFmtId="0" fontId="51" fillId="0" borderId="0" xfId="0" applyFont="1" applyAlignment="1">
      <alignment vertical="center"/>
    </xf>
    <xf numFmtId="164" fontId="10" fillId="9" borderId="1" xfId="0" applyNumberFormat="1" applyFont="1" applyFill="1" applyBorder="1" applyAlignment="1">
      <alignment vertical="center" wrapText="1"/>
    </xf>
    <xf numFmtId="0" fontId="35" fillId="0" borderId="1" xfId="0" applyFont="1" applyBorder="1" applyAlignment="1">
      <alignment horizontal="left" vertical="center" wrapText="1"/>
    </xf>
    <xf numFmtId="0" fontId="10" fillId="12" borderId="1" xfId="0" applyFont="1" applyFill="1" applyBorder="1" applyAlignment="1">
      <alignment vertical="center" wrapText="1"/>
    </xf>
    <xf numFmtId="164" fontId="10" fillId="11" borderId="1" xfId="0" applyNumberFormat="1" applyFont="1" applyFill="1" applyBorder="1" applyAlignment="1">
      <alignment vertical="center"/>
    </xf>
    <xf numFmtId="164" fontId="36" fillId="14" borderId="1" xfId="1" applyNumberFormat="1" applyFont="1" applyFill="1" applyBorder="1" applyAlignment="1">
      <alignment vertical="center" wrapText="1"/>
    </xf>
    <xf numFmtId="164" fontId="2" fillId="0" borderId="0" xfId="1" applyNumberFormat="1" applyFont="1" applyBorder="1" applyAlignment="1">
      <alignment vertical="center"/>
    </xf>
    <xf numFmtId="0" fontId="3" fillId="0" borderId="0" xfId="0" applyFont="1" applyAlignment="1">
      <alignment horizontal="left" vertical="center"/>
    </xf>
    <xf numFmtId="0" fontId="3" fillId="0" borderId="0" xfId="3" applyFont="1" applyAlignment="1">
      <alignment vertical="center" wrapText="1"/>
    </xf>
    <xf numFmtId="164" fontId="3" fillId="0" borderId="0" xfId="0" applyNumberFormat="1" applyFont="1" applyAlignment="1">
      <alignment vertical="center"/>
    </xf>
    <xf numFmtId="0" fontId="3" fillId="0" borderId="51" xfId="0" applyFont="1" applyBorder="1" applyAlignment="1">
      <alignment horizontal="left" vertical="center" wrapText="1"/>
    </xf>
    <xf numFmtId="0" fontId="19" fillId="0" borderId="24" xfId="0" applyFont="1" applyBorder="1" applyAlignment="1">
      <alignment horizontal="center" vertical="center" wrapText="1"/>
    </xf>
    <xf numFmtId="0" fontId="3" fillId="0" borderId="52" xfId="0" applyFont="1" applyBorder="1" applyAlignment="1">
      <alignment horizontal="left" vertical="center" wrapText="1"/>
    </xf>
    <xf numFmtId="0" fontId="3" fillId="0" borderId="53" xfId="0" applyFont="1" applyBorder="1" applyAlignment="1">
      <alignment horizontal="left" vertical="center" wrapText="1"/>
    </xf>
    <xf numFmtId="0" fontId="16" fillId="0" borderId="24" xfId="0" applyFont="1" applyBorder="1" applyAlignment="1">
      <alignment vertical="center" wrapText="1"/>
    </xf>
    <xf numFmtId="0" fontId="16" fillId="0" borderId="20" xfId="0" applyFont="1" applyBorder="1" applyAlignment="1">
      <alignment vertical="center" wrapText="1"/>
    </xf>
    <xf numFmtId="0" fontId="16" fillId="0" borderId="21" xfId="0" applyFont="1" applyBorder="1" applyAlignment="1">
      <alignment vertical="center" wrapText="1"/>
    </xf>
    <xf numFmtId="0" fontId="16" fillId="0" borderId="55" xfId="0" applyFont="1" applyBorder="1" applyAlignment="1">
      <alignment vertical="center" wrapText="1"/>
    </xf>
    <xf numFmtId="0" fontId="3" fillId="0" borderId="54" xfId="0" applyFont="1" applyBorder="1" applyAlignment="1">
      <alignment horizontal="left" vertical="center" wrapText="1"/>
    </xf>
    <xf numFmtId="0" fontId="15" fillId="0" borderId="0" xfId="0" applyFont="1" applyAlignment="1">
      <alignment horizontal="left" vertical="center" wrapText="1"/>
    </xf>
    <xf numFmtId="164" fontId="15" fillId="0" borderId="0" xfId="1" applyNumberFormat="1" applyFont="1" applyFill="1" applyAlignment="1" applyProtection="1">
      <alignment horizontal="right" vertical="center" wrapText="1"/>
    </xf>
    <xf numFmtId="0" fontId="18" fillId="0" borderId="0" xfId="0" applyFont="1" applyAlignment="1" applyProtection="1">
      <alignment vertical="center" wrapText="1"/>
      <protection locked="0"/>
    </xf>
    <xf numFmtId="0" fontId="58" fillId="0" borderId="0" xfId="0" applyFont="1" applyAlignment="1" applyProtection="1">
      <alignment vertical="center" wrapText="1"/>
      <protection locked="0"/>
    </xf>
    <xf numFmtId="0" fontId="18" fillId="0" borderId="0" xfId="0" applyFont="1" applyAlignment="1">
      <alignment horizontal="right" vertical="center" wrapText="1"/>
    </xf>
    <xf numFmtId="0" fontId="15" fillId="0" borderId="0" xfId="0" applyFont="1" applyAlignment="1">
      <alignment vertical="center" wrapText="1"/>
    </xf>
    <xf numFmtId="0" fontId="6" fillId="14" borderId="42" xfId="0" applyFont="1" applyFill="1" applyBorder="1" applyAlignment="1">
      <alignment horizontal="left" vertical="center" wrapText="1"/>
    </xf>
    <xf numFmtId="0" fontId="6" fillId="14" borderId="42" xfId="0" applyFont="1" applyFill="1" applyBorder="1" applyAlignment="1">
      <alignment horizontal="right" vertical="center"/>
    </xf>
    <xf numFmtId="0" fontId="18" fillId="0" borderId="0" xfId="0" applyFont="1" applyAlignment="1">
      <alignment horizontal="right" vertical="center"/>
    </xf>
    <xf numFmtId="0" fontId="18" fillId="0" borderId="0" xfId="0" applyFont="1" applyAlignment="1">
      <alignment horizontal="left" vertical="center"/>
    </xf>
    <xf numFmtId="0" fontId="6" fillId="14" borderId="43" xfId="0" applyFont="1" applyFill="1" applyBorder="1" applyAlignment="1">
      <alignment horizontal="left" vertical="center" wrapText="1"/>
    </xf>
    <xf numFmtId="0" fontId="6" fillId="14" borderId="43" xfId="0" applyFont="1" applyFill="1" applyBorder="1" applyAlignment="1">
      <alignment horizontal="right" vertical="center"/>
    </xf>
    <xf numFmtId="0" fontId="58" fillId="0" borderId="0" xfId="0" applyFont="1" applyAlignment="1" applyProtection="1">
      <alignment horizontal="left" vertical="center"/>
      <protection locked="0"/>
    </xf>
    <xf numFmtId="16" fontId="18" fillId="0" borderId="0" xfId="0" quotePrefix="1" applyNumberFormat="1" applyFont="1" applyAlignment="1">
      <alignment horizontal="right" vertical="center" wrapText="1"/>
    </xf>
    <xf numFmtId="0" fontId="6" fillId="14" borderId="44" xfId="0" applyFont="1" applyFill="1" applyBorder="1" applyAlignment="1">
      <alignment horizontal="left" vertical="center" wrapText="1"/>
    </xf>
    <xf numFmtId="0" fontId="6" fillId="14" borderId="44" xfId="0" applyFont="1" applyFill="1" applyBorder="1" applyAlignment="1">
      <alignment horizontal="right" vertical="center"/>
    </xf>
    <xf numFmtId="0" fontId="4" fillId="0" borderId="0" xfId="0" applyFont="1" applyAlignment="1">
      <alignment horizontal="left" vertical="center"/>
    </xf>
    <xf numFmtId="0" fontId="8" fillId="0" borderId="0" xfId="0" applyFont="1" applyAlignment="1">
      <alignment horizontal="left" vertical="center"/>
    </xf>
    <xf numFmtId="0" fontId="3" fillId="0" borderId="0" xfId="0" applyFont="1" applyAlignment="1">
      <alignment horizontal="left" wrapText="1"/>
    </xf>
    <xf numFmtId="0" fontId="18" fillId="0" borderId="0" xfId="0" quotePrefix="1" applyFont="1" applyAlignment="1">
      <alignment horizontal="left" vertical="center"/>
    </xf>
    <xf numFmtId="0" fontId="9" fillId="19" borderId="1" xfId="0" applyFont="1" applyFill="1" applyBorder="1" applyAlignment="1">
      <alignment horizontal="center" vertical="center" wrapText="1"/>
    </xf>
    <xf numFmtId="164" fontId="3" fillId="0" borderId="51" xfId="1" applyNumberFormat="1" applyFont="1" applyFill="1" applyBorder="1" applyAlignment="1">
      <alignment horizontal="center" vertical="center" wrapText="1"/>
    </xf>
    <xf numFmtId="164" fontId="3" fillId="0" borderId="56" xfId="1" applyNumberFormat="1" applyFont="1" applyFill="1" applyBorder="1" applyAlignment="1">
      <alignment horizontal="center" vertical="center" wrapText="1"/>
    </xf>
    <xf numFmtId="164" fontId="3" fillId="0" borderId="52" xfId="1" applyNumberFormat="1" applyFont="1" applyFill="1" applyBorder="1" applyAlignment="1">
      <alignment horizontal="center" vertical="center" wrapText="1"/>
    </xf>
    <xf numFmtId="164" fontId="3" fillId="0" borderId="53" xfId="1" applyNumberFormat="1" applyFont="1" applyFill="1" applyBorder="1" applyAlignment="1">
      <alignment horizontal="center" vertical="center" wrapText="1"/>
    </xf>
    <xf numFmtId="0" fontId="11" fillId="5" borderId="6" xfId="0" applyFont="1" applyFill="1" applyBorder="1" applyAlignment="1">
      <alignment horizontal="center" vertical="center" wrapText="1"/>
    </xf>
    <xf numFmtId="164" fontId="12" fillId="5" borderId="9" xfId="0" applyNumberFormat="1" applyFont="1" applyFill="1" applyBorder="1" applyAlignment="1">
      <alignment horizontal="right" vertical="center" wrapText="1"/>
    </xf>
    <xf numFmtId="164" fontId="8" fillId="0" borderId="53" xfId="1" applyNumberFormat="1" applyFont="1" applyFill="1" applyBorder="1" applyAlignment="1">
      <alignment horizontal="center" vertical="center" wrapText="1"/>
    </xf>
    <xf numFmtId="164" fontId="3" fillId="0" borderId="54" xfId="1" applyNumberFormat="1" applyFont="1" applyFill="1" applyBorder="1" applyAlignment="1">
      <alignment horizontal="center" vertical="center" wrapText="1"/>
    </xf>
    <xf numFmtId="0" fontId="11" fillId="7" borderId="6" xfId="0" applyFont="1" applyFill="1" applyBorder="1" applyAlignment="1">
      <alignment horizontal="center" vertical="center" wrapText="1"/>
    </xf>
    <xf numFmtId="164" fontId="12" fillId="7" borderId="9" xfId="0" applyNumberFormat="1" applyFont="1" applyFill="1" applyBorder="1" applyAlignment="1">
      <alignment horizontal="right" vertical="center" wrapText="1"/>
    </xf>
    <xf numFmtId="0" fontId="11" fillId="9" borderId="6" xfId="0" applyFont="1" applyFill="1" applyBorder="1" applyAlignment="1">
      <alignment horizontal="center" vertical="center" wrapText="1"/>
    </xf>
    <xf numFmtId="164" fontId="12" fillId="9" borderId="9" xfId="0" applyNumberFormat="1" applyFont="1" applyFill="1" applyBorder="1" applyAlignment="1">
      <alignment horizontal="right" vertical="center" wrapText="1"/>
    </xf>
    <xf numFmtId="0" fontId="11" fillId="12" borderId="6" xfId="0" applyFont="1" applyFill="1" applyBorder="1" applyAlignment="1">
      <alignment horizontal="center" vertical="center" wrapText="1"/>
    </xf>
    <xf numFmtId="164" fontId="12" fillId="12" borderId="9" xfId="0" applyNumberFormat="1" applyFont="1" applyFill="1" applyBorder="1" applyAlignment="1">
      <alignment horizontal="right" vertical="center" wrapText="1"/>
    </xf>
    <xf numFmtId="164" fontId="3" fillId="0" borderId="56" xfId="1" applyNumberFormat="1" applyFont="1" applyFill="1" applyBorder="1" applyAlignment="1">
      <alignment vertical="center" wrapText="1"/>
    </xf>
    <xf numFmtId="164" fontId="3" fillId="0" borderId="53" xfId="1" applyNumberFormat="1" applyFont="1" applyFill="1" applyBorder="1" applyAlignment="1">
      <alignment vertical="center" wrapText="1"/>
    </xf>
    <xf numFmtId="164" fontId="3" fillId="14" borderId="53" xfId="1" applyNumberFormat="1" applyFont="1" applyFill="1" applyBorder="1" applyAlignment="1">
      <alignment horizontal="center" vertical="center" wrapText="1"/>
    </xf>
    <xf numFmtId="0" fontId="3" fillId="0" borderId="1" xfId="0" applyFont="1" applyBorder="1" applyAlignment="1">
      <alignment vertical="center" wrapText="1"/>
    </xf>
    <xf numFmtId="0" fontId="3" fillId="0" borderId="1" xfId="3" applyFont="1" applyBorder="1" applyAlignment="1">
      <alignment vertical="center" wrapText="1"/>
    </xf>
    <xf numFmtId="0" fontId="3" fillId="0" borderId="1" xfId="0" applyFont="1" applyBorder="1" applyAlignment="1">
      <alignment wrapText="1"/>
    </xf>
    <xf numFmtId="0" fontId="16" fillId="0" borderId="1"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left" vertical="center" wrapText="1"/>
    </xf>
    <xf numFmtId="0" fontId="3" fillId="0" borderId="1" xfId="0" applyFont="1" applyBorder="1" applyAlignment="1">
      <alignment vertical="center"/>
    </xf>
    <xf numFmtId="164" fontId="3" fillId="0" borderId="1" xfId="0" applyNumberFormat="1" applyFont="1" applyBorder="1" applyAlignment="1">
      <alignment vertical="center"/>
    </xf>
    <xf numFmtId="0" fontId="8" fillId="0" borderId="1" xfId="0" applyFont="1" applyBorder="1" applyAlignment="1">
      <alignment vertical="center"/>
    </xf>
    <xf numFmtId="0" fontId="3" fillId="0" borderId="1" xfId="0" applyFont="1" applyBorder="1" applyAlignment="1">
      <alignment horizontal="left" vertical="center" wrapText="1"/>
    </xf>
    <xf numFmtId="0" fontId="36" fillId="14" borderId="0" xfId="0" applyFont="1" applyFill="1" applyAlignment="1">
      <alignment vertical="center"/>
    </xf>
    <xf numFmtId="0" fontId="9" fillId="14" borderId="0" xfId="0" applyFont="1" applyFill="1" applyAlignment="1">
      <alignment vertical="center"/>
    </xf>
    <xf numFmtId="0" fontId="9" fillId="0" borderId="0" xfId="0" applyFont="1" applyAlignment="1">
      <alignment horizontal="center" vertical="center" wrapText="1"/>
    </xf>
    <xf numFmtId="0" fontId="9" fillId="14" borderId="0" xfId="0" applyFont="1" applyFill="1" applyAlignment="1">
      <alignment horizontal="center" vertical="center" wrapText="1"/>
    </xf>
    <xf numFmtId="0" fontId="61" fillId="14" borderId="0" xfId="0" applyFont="1" applyFill="1" applyAlignment="1">
      <alignment vertical="center"/>
    </xf>
    <xf numFmtId="0" fontId="36" fillId="0" borderId="28" xfId="0" applyFont="1" applyBorder="1" applyAlignment="1">
      <alignment horizontal="center" vertical="center" wrapText="1"/>
    </xf>
    <xf numFmtId="0" fontId="36" fillId="0" borderId="43" xfId="0" applyFont="1" applyBorder="1" applyAlignment="1">
      <alignment horizontal="left" vertical="center" wrapText="1"/>
    </xf>
    <xf numFmtId="0" fontId="45" fillId="0" borderId="47" xfId="0" applyFont="1" applyBorder="1" applyAlignment="1">
      <alignment vertical="center" wrapText="1"/>
    </xf>
    <xf numFmtId="0" fontId="36" fillId="0" borderId="28" xfId="0" applyFont="1" applyBorder="1" applyAlignment="1">
      <alignment horizontal="left" vertical="center" wrapText="1"/>
    </xf>
    <xf numFmtId="0" fontId="36" fillId="0" borderId="28" xfId="0" applyFont="1" applyBorder="1" applyAlignment="1">
      <alignment vertical="center" wrapText="1"/>
    </xf>
    <xf numFmtId="164" fontId="36" fillId="0" borderId="28" xfId="1" applyNumberFormat="1" applyFont="1" applyFill="1" applyBorder="1" applyAlignment="1">
      <alignment vertical="center" wrapText="1"/>
    </xf>
    <xf numFmtId="0" fontId="45" fillId="0" borderId="29" xfId="0" applyFont="1" applyBorder="1" applyAlignment="1">
      <alignment vertical="center" wrapText="1"/>
    </xf>
    <xf numFmtId="0" fontId="36" fillId="0" borderId="49" xfId="0" applyFont="1" applyBorder="1" applyAlignment="1">
      <alignment horizontal="left" vertical="center" wrapText="1"/>
    </xf>
    <xf numFmtId="0" fontId="36" fillId="0" borderId="50" xfId="0" applyFont="1" applyBorder="1" applyAlignment="1">
      <alignment horizontal="left" vertical="center" wrapText="1"/>
    </xf>
    <xf numFmtId="0" fontId="63" fillId="0" borderId="39" xfId="0" applyFont="1" applyBorder="1" applyAlignment="1">
      <alignment vertical="center" wrapText="1"/>
    </xf>
    <xf numFmtId="0" fontId="45" fillId="0" borderId="1" xfId="0" quotePrefix="1" applyFont="1" applyBorder="1" applyAlignment="1">
      <alignment horizontal="left" vertical="center" wrapText="1"/>
    </xf>
    <xf numFmtId="0" fontId="63" fillId="0" borderId="17" xfId="0" applyFont="1" applyBorder="1" applyAlignment="1">
      <alignment vertical="center" wrapText="1"/>
    </xf>
    <xf numFmtId="0" fontId="63" fillId="0" borderId="13" xfId="0" applyFont="1" applyBorder="1" applyAlignment="1">
      <alignment vertical="center" wrapText="1"/>
    </xf>
    <xf numFmtId="0" fontId="45" fillId="0" borderId="48" xfId="0" applyFont="1" applyBorder="1" applyAlignment="1">
      <alignment horizontal="left" vertical="center" wrapText="1"/>
    </xf>
    <xf numFmtId="0" fontId="45" fillId="0" borderId="42" xfId="0" applyFont="1" applyBorder="1" applyAlignment="1">
      <alignment horizontal="left" vertical="center" wrapText="1"/>
    </xf>
    <xf numFmtId="0" fontId="63" fillId="0" borderId="22" xfId="0" applyFont="1" applyBorder="1" applyAlignment="1">
      <alignment vertical="center" wrapText="1"/>
    </xf>
    <xf numFmtId="0" fontId="45" fillId="0" borderId="29" xfId="0" applyFont="1" applyBorder="1" applyAlignment="1">
      <alignment horizontal="left" vertical="center" wrapText="1"/>
    </xf>
    <xf numFmtId="0" fontId="45" fillId="0" borderId="49" xfId="0" applyFont="1" applyBorder="1" applyAlignment="1">
      <alignment horizontal="left" vertical="center" wrapText="1"/>
    </xf>
    <xf numFmtId="0" fontId="45" fillId="0" borderId="43" xfId="0" applyFont="1" applyBorder="1" applyAlignment="1">
      <alignment horizontal="left" vertical="center" wrapText="1"/>
    </xf>
    <xf numFmtId="0" fontId="45" fillId="0" borderId="4" xfId="0" applyFont="1" applyBorder="1" applyAlignment="1">
      <alignment horizontal="left" vertical="center" wrapText="1"/>
    </xf>
    <xf numFmtId="0" fontId="45" fillId="0" borderId="4" xfId="0" applyFont="1" applyBorder="1" applyAlignment="1">
      <alignment vertical="center" wrapText="1"/>
    </xf>
    <xf numFmtId="0" fontId="45" fillId="0" borderId="47" xfId="0" applyFont="1" applyBorder="1" applyAlignment="1">
      <alignment horizontal="center" vertical="center" wrapText="1"/>
    </xf>
    <xf numFmtId="0" fontId="36" fillId="14" borderId="28" xfId="0" applyFont="1" applyFill="1" applyBorder="1" applyAlignment="1">
      <alignment horizontal="center" vertical="center" wrapText="1"/>
    </xf>
    <xf numFmtId="0" fontId="36" fillId="14" borderId="28" xfId="0" applyFont="1" applyFill="1" applyBorder="1" applyAlignment="1">
      <alignment horizontal="left" vertical="center" wrapText="1"/>
    </xf>
    <xf numFmtId="0" fontId="8" fillId="14" borderId="13" xfId="0" applyFont="1" applyFill="1" applyBorder="1" applyAlignment="1">
      <alignment vertical="center" wrapText="1"/>
    </xf>
    <xf numFmtId="0" fontId="45" fillId="14" borderId="28" xfId="0" applyFont="1" applyFill="1" applyBorder="1" applyAlignment="1">
      <alignment horizontal="center" vertical="center" wrapText="1"/>
    </xf>
    <xf numFmtId="164" fontId="35" fillId="14" borderId="28" xfId="1" applyNumberFormat="1" applyFont="1" applyFill="1" applyBorder="1" applyAlignment="1">
      <alignment vertical="center" wrapText="1"/>
    </xf>
    <xf numFmtId="0" fontId="45" fillId="14" borderId="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18" fillId="14" borderId="0" xfId="0" applyFont="1" applyFill="1" applyAlignment="1">
      <alignment vertical="center"/>
    </xf>
    <xf numFmtId="0" fontId="36" fillId="14" borderId="1" xfId="0" applyFont="1" applyFill="1" applyBorder="1" applyAlignment="1">
      <alignment horizontal="center" vertical="center" wrapText="1"/>
    </xf>
    <xf numFmtId="0" fontId="36" fillId="14" borderId="1" xfId="0" applyFont="1" applyFill="1" applyBorder="1" applyAlignment="1">
      <alignment horizontal="left" vertical="center" wrapText="1"/>
    </xf>
    <xf numFmtId="0" fontId="3" fillId="14" borderId="18" xfId="0" applyFont="1" applyFill="1" applyBorder="1" applyAlignment="1">
      <alignment vertical="center" wrapText="1"/>
    </xf>
    <xf numFmtId="0" fontId="42" fillId="14" borderId="1" xfId="0" applyFont="1" applyFill="1" applyBorder="1" applyAlignment="1">
      <alignment horizontal="center" vertical="center" wrapText="1"/>
    </xf>
    <xf numFmtId="0" fontId="45" fillId="14" borderId="4" xfId="0" applyFont="1" applyFill="1" applyBorder="1" applyAlignment="1">
      <alignment horizontal="left" vertical="center" wrapText="1"/>
    </xf>
    <xf numFmtId="0" fontId="45" fillId="14" borderId="1" xfId="0" applyFont="1" applyFill="1" applyBorder="1" applyAlignment="1">
      <alignment horizontal="left" vertical="center" wrapText="1"/>
    </xf>
    <xf numFmtId="0" fontId="36" fillId="14" borderId="47" xfId="0" applyFont="1" applyFill="1" applyBorder="1" applyAlignment="1">
      <alignment horizontal="center" vertical="center" wrapText="1"/>
    </xf>
    <xf numFmtId="0" fontId="36" fillId="14" borderId="47" xfId="0" applyFont="1" applyFill="1" applyBorder="1" applyAlignment="1">
      <alignment horizontal="left" vertical="center" wrapText="1"/>
    </xf>
    <xf numFmtId="0" fontId="3" fillId="14" borderId="17" xfId="0" applyFont="1" applyFill="1" applyBorder="1" applyAlignment="1">
      <alignment vertical="center" wrapText="1"/>
    </xf>
    <xf numFmtId="0" fontId="42" fillId="14" borderId="47" xfId="0" applyFont="1" applyFill="1" applyBorder="1" applyAlignment="1">
      <alignment horizontal="center" vertical="center" wrapText="1"/>
    </xf>
    <xf numFmtId="164" fontId="36" fillId="14" borderId="47" xfId="1" applyNumberFormat="1" applyFont="1" applyFill="1" applyBorder="1" applyAlignment="1">
      <alignment vertical="center" wrapText="1"/>
    </xf>
    <xf numFmtId="0" fontId="45" fillId="14" borderId="37" xfId="0" applyFont="1" applyFill="1" applyBorder="1" applyAlignment="1">
      <alignment horizontal="left" vertical="center" wrapText="1"/>
    </xf>
    <xf numFmtId="0" fontId="45" fillId="14" borderId="47" xfId="0" applyFont="1" applyFill="1" applyBorder="1" applyAlignment="1">
      <alignment horizontal="left" vertical="center" wrapText="1"/>
    </xf>
    <xf numFmtId="0" fontId="45" fillId="14" borderId="1" xfId="0" applyFont="1" applyFill="1" applyBorder="1" applyAlignment="1">
      <alignment vertical="center" wrapText="1"/>
    </xf>
    <xf numFmtId="0" fontId="36" fillId="14" borderId="29" xfId="0" applyFont="1" applyFill="1" applyBorder="1" applyAlignment="1">
      <alignment horizontal="center" vertical="center" wrapText="1"/>
    </xf>
    <xf numFmtId="0" fontId="36" fillId="14" borderId="29" xfId="0" applyFont="1" applyFill="1" applyBorder="1" applyAlignment="1">
      <alignment horizontal="left" vertical="center" wrapText="1"/>
    </xf>
    <xf numFmtId="0" fontId="3" fillId="14" borderId="22" xfId="0" applyFont="1" applyFill="1" applyBorder="1" applyAlignment="1">
      <alignment vertical="center" wrapText="1"/>
    </xf>
    <xf numFmtId="0" fontId="42" fillId="14" borderId="29" xfId="0" applyFont="1" applyFill="1" applyBorder="1" applyAlignment="1">
      <alignment horizontal="center" vertical="center" wrapText="1"/>
    </xf>
    <xf numFmtId="164" fontId="36" fillId="14" borderId="29" xfId="1" applyNumberFormat="1" applyFont="1" applyFill="1" applyBorder="1" applyAlignment="1">
      <alignment vertical="center" wrapText="1"/>
    </xf>
    <xf numFmtId="0" fontId="45" fillId="14" borderId="10" xfId="0" applyFont="1" applyFill="1" applyBorder="1" applyAlignment="1">
      <alignment horizontal="left" vertical="center" wrapText="1"/>
    </xf>
    <xf numFmtId="0" fontId="45" fillId="14" borderId="29" xfId="0" applyFont="1" applyFill="1" applyBorder="1" applyAlignment="1">
      <alignment horizontal="left" vertical="center" wrapText="1"/>
    </xf>
    <xf numFmtId="0" fontId="3" fillId="14" borderId="13" xfId="0" applyFont="1" applyFill="1" applyBorder="1" applyAlignment="1">
      <alignment vertical="center" wrapText="1"/>
    </xf>
    <xf numFmtId="164" fontId="3" fillId="14" borderId="14" xfId="1" applyNumberFormat="1" applyFont="1" applyFill="1" applyBorder="1" applyAlignment="1">
      <alignment horizontal="center" vertical="center" wrapText="1"/>
    </xf>
    <xf numFmtId="0" fontId="45" fillId="14" borderId="48" xfId="0" applyFont="1" applyFill="1" applyBorder="1" applyAlignment="1">
      <alignment horizontal="left" vertical="center" wrapText="1"/>
    </xf>
    <xf numFmtId="0" fontId="45" fillId="14" borderId="42" xfId="0" applyFont="1" applyFill="1" applyBorder="1" applyAlignment="1">
      <alignment horizontal="left" vertical="center" wrapText="1"/>
    </xf>
    <xf numFmtId="0" fontId="45" fillId="14" borderId="57" xfId="0" applyFont="1" applyFill="1" applyBorder="1" applyAlignment="1">
      <alignment horizontal="left" vertical="center" wrapText="1"/>
    </xf>
    <xf numFmtId="0" fontId="45" fillId="14" borderId="45" xfId="0" applyFont="1" applyFill="1" applyBorder="1" applyAlignment="1">
      <alignment horizontal="left" vertical="center" wrapText="1"/>
    </xf>
    <xf numFmtId="0" fontId="3" fillId="14" borderId="39" xfId="0" applyFont="1" applyFill="1" applyBorder="1" applyAlignment="1">
      <alignment vertical="center" wrapText="1"/>
    </xf>
    <xf numFmtId="164" fontId="3" fillId="14" borderId="40" xfId="1" applyNumberFormat="1" applyFont="1" applyFill="1" applyBorder="1" applyAlignment="1">
      <alignment horizontal="center" vertical="center" wrapText="1"/>
    </xf>
    <xf numFmtId="0" fontId="45" fillId="14" borderId="49" xfId="0" applyFont="1" applyFill="1" applyBorder="1" applyAlignment="1">
      <alignment horizontal="left" vertical="center" wrapText="1"/>
    </xf>
    <xf numFmtId="0" fontId="45" fillId="14" borderId="43" xfId="0" applyFont="1" applyFill="1" applyBorder="1" applyAlignment="1">
      <alignment horizontal="left" vertical="center" wrapText="1"/>
    </xf>
    <xf numFmtId="164" fontId="3" fillId="14" borderId="23" xfId="1" applyNumberFormat="1" applyFont="1" applyFill="1" applyBorder="1" applyAlignment="1">
      <alignment horizontal="center" vertical="center" wrapText="1"/>
    </xf>
    <xf numFmtId="0" fontId="45" fillId="14" borderId="50" xfId="0" applyFont="1" applyFill="1" applyBorder="1" applyAlignment="1">
      <alignment horizontal="left" vertical="center" wrapText="1"/>
    </xf>
    <xf numFmtId="0" fontId="45" fillId="14" borderId="44" xfId="0" applyFont="1" applyFill="1" applyBorder="1" applyAlignment="1">
      <alignment horizontal="left" vertical="center" wrapText="1"/>
    </xf>
    <xf numFmtId="0" fontId="45" fillId="14" borderId="48" xfId="0" applyFont="1" applyFill="1" applyBorder="1" applyAlignment="1">
      <alignment vertical="center" wrapText="1"/>
    </xf>
    <xf numFmtId="0" fontId="45" fillId="14" borderId="42" xfId="0" applyFont="1" applyFill="1" applyBorder="1" applyAlignment="1">
      <alignment vertical="center" wrapText="1"/>
    </xf>
    <xf numFmtId="0" fontId="45" fillId="14" borderId="43" xfId="0" applyFont="1" applyFill="1" applyBorder="1" applyAlignment="1">
      <alignment vertical="center" wrapText="1"/>
    </xf>
    <xf numFmtId="0" fontId="45" fillId="14" borderId="44" xfId="0" applyFont="1" applyFill="1" applyBorder="1" applyAlignment="1">
      <alignment vertical="center" wrapText="1"/>
    </xf>
    <xf numFmtId="0" fontId="36" fillId="14" borderId="50" xfId="0" applyFont="1" applyFill="1" applyBorder="1" applyAlignment="1">
      <alignment horizontal="left" vertical="center" wrapText="1"/>
    </xf>
    <xf numFmtId="0" fontId="25" fillId="0" borderId="2" xfId="0" applyFont="1" applyBorder="1" applyAlignment="1">
      <alignment horizontal="left" vertical="center"/>
    </xf>
    <xf numFmtId="0" fontId="25" fillId="0" borderId="4" xfId="0" applyFont="1" applyBorder="1" applyAlignment="1">
      <alignment horizontal="lef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6" fillId="0" borderId="0" xfId="0" applyFont="1" applyAlignment="1">
      <alignment horizontal="center" vertical="center"/>
    </xf>
    <xf numFmtId="0" fontId="27" fillId="21" borderId="5" xfId="0" applyFont="1" applyFill="1" applyBorder="1" applyAlignment="1">
      <alignment horizontal="center" vertical="center"/>
    </xf>
    <xf numFmtId="0" fontId="27" fillId="21" borderId="7" xfId="0" applyFont="1" applyFill="1" applyBorder="1" applyAlignment="1">
      <alignment horizontal="center" vertical="center"/>
    </xf>
    <xf numFmtId="0" fontId="27" fillId="21" borderId="8" xfId="0" applyFont="1" applyFill="1" applyBorder="1" applyAlignment="1">
      <alignment horizontal="center" vertical="center"/>
    </xf>
    <xf numFmtId="0" fontId="27" fillId="21" borderId="10" xfId="0" applyFont="1" applyFill="1" applyBorder="1" applyAlignment="1">
      <alignment horizontal="center" vertical="center"/>
    </xf>
    <xf numFmtId="0" fontId="9" fillId="29" borderId="2" xfId="0" applyFont="1" applyFill="1" applyBorder="1" applyAlignment="1">
      <alignment horizontal="center" vertical="center"/>
    </xf>
    <xf numFmtId="0" fontId="9" fillId="29" borderId="4" xfId="0" applyFont="1" applyFill="1" applyBorder="1" applyAlignment="1">
      <alignment horizontal="center" vertical="center"/>
    </xf>
    <xf numFmtId="0" fontId="25" fillId="0" borderId="2" xfId="0" applyFont="1" applyBorder="1" applyAlignment="1">
      <alignment horizontal="left" vertical="center" wrapText="1"/>
    </xf>
    <xf numFmtId="0" fontId="25" fillId="0" borderId="4" xfId="0" applyFont="1" applyBorder="1" applyAlignment="1">
      <alignment horizontal="left" vertical="center" wrapText="1"/>
    </xf>
    <xf numFmtId="0" fontId="25" fillId="0" borderId="28" xfId="0" applyFont="1" applyBorder="1" applyAlignment="1">
      <alignment horizontal="left" vertical="center" wrapText="1"/>
    </xf>
    <xf numFmtId="0" fontId="25" fillId="0" borderId="29" xfId="0" applyFont="1" applyBorder="1" applyAlignment="1">
      <alignment horizontal="left" vertical="center" wrapText="1"/>
    </xf>
    <xf numFmtId="164" fontId="3" fillId="0" borderId="2" xfId="1" applyNumberFormat="1" applyFont="1" applyBorder="1" applyAlignment="1">
      <alignment horizontal="center" vertical="center"/>
    </xf>
    <xf numFmtId="164" fontId="3" fillId="0" borderId="3" xfId="1" applyNumberFormat="1" applyFont="1" applyBorder="1" applyAlignment="1">
      <alignment horizontal="center" vertical="center"/>
    </xf>
    <xf numFmtId="164" fontId="3" fillId="0" borderId="4" xfId="1" applyNumberFormat="1" applyFont="1" applyBorder="1" applyAlignment="1">
      <alignment horizontal="center" vertical="center"/>
    </xf>
    <xf numFmtId="0" fontId="57" fillId="0" borderId="0" xfId="0" applyFont="1" applyAlignment="1">
      <alignment horizontal="left" wrapText="1"/>
    </xf>
    <xf numFmtId="0" fontId="15" fillId="0" borderId="0" xfId="0" applyFont="1" applyAlignment="1">
      <alignment horizontal="left"/>
    </xf>
    <xf numFmtId="0" fontId="3" fillId="0" borderId="12" xfId="0" applyFont="1" applyBorder="1" applyAlignment="1">
      <alignment horizontal="left" vertical="center" wrapText="1"/>
    </xf>
    <xf numFmtId="0" fontId="3" fillId="0" borderId="16" xfId="0" applyFont="1" applyBorder="1" applyAlignment="1">
      <alignment horizontal="left" vertical="center" wrapText="1"/>
    </xf>
    <xf numFmtId="0" fontId="3" fillId="0" borderId="27" xfId="0" applyFont="1" applyBorder="1" applyAlignment="1">
      <alignment horizontal="left" vertical="center" wrapText="1"/>
    </xf>
    <xf numFmtId="0" fontId="23" fillId="13" borderId="18" xfId="0" applyFont="1" applyFill="1" applyBorder="1" applyAlignment="1">
      <alignment horizontal="center" vertical="center" wrapText="1"/>
    </xf>
    <xf numFmtId="0" fontId="23" fillId="13" borderId="17" xfId="0" applyFont="1" applyFill="1" applyBorder="1" applyAlignment="1">
      <alignment horizontal="center" vertical="center" wrapText="1"/>
    </xf>
    <xf numFmtId="0" fontId="24" fillId="13" borderId="17" xfId="0" applyFont="1" applyFill="1" applyBorder="1" applyAlignment="1">
      <alignment horizontal="center" vertical="center" wrapText="1"/>
    </xf>
    <xf numFmtId="0" fontId="24" fillId="13" borderId="22" xfId="0" applyFont="1" applyFill="1" applyBorder="1" applyAlignment="1">
      <alignment horizontal="center" vertical="center" wrapText="1"/>
    </xf>
    <xf numFmtId="0" fontId="16" fillId="0" borderId="24"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55" xfId="0" applyFont="1" applyBorder="1" applyAlignment="1">
      <alignment horizontal="center" vertical="center" wrapText="1"/>
    </xf>
    <xf numFmtId="0" fontId="16" fillId="0" borderId="21" xfId="0" applyFont="1" applyBorder="1" applyAlignment="1">
      <alignment horizontal="center" vertical="center" wrapText="1"/>
    </xf>
    <xf numFmtId="0" fontId="13" fillId="5" borderId="33" xfId="0" applyFont="1" applyFill="1" applyBorder="1" applyAlignment="1">
      <alignment horizontal="left" vertical="center" wrapText="1"/>
    </xf>
    <xf numFmtId="0" fontId="13" fillId="5" borderId="34" xfId="0" applyFont="1" applyFill="1" applyBorder="1" applyAlignment="1">
      <alignment horizontal="left" vertical="center" wrapText="1"/>
    </xf>
    <xf numFmtId="0" fontId="13" fillId="5" borderId="35" xfId="0" applyFont="1" applyFill="1" applyBorder="1" applyAlignment="1">
      <alignment horizontal="left" vertical="center" wrapText="1"/>
    </xf>
    <xf numFmtId="0" fontId="9" fillId="6" borderId="28" xfId="0" applyFont="1" applyFill="1" applyBorder="1" applyAlignment="1">
      <alignment vertical="center"/>
    </xf>
    <xf numFmtId="0" fontId="9" fillId="6" borderId="29" xfId="0" applyFont="1" applyFill="1" applyBorder="1" applyAlignment="1">
      <alignment vertical="center"/>
    </xf>
    <xf numFmtId="0" fontId="10" fillId="7" borderId="5" xfId="0" applyFont="1" applyFill="1" applyBorder="1" applyAlignment="1">
      <alignment horizontal="left" vertical="center" wrapText="1"/>
    </xf>
    <xf numFmtId="0" fontId="10" fillId="7" borderId="6"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7" borderId="9" xfId="0" applyFont="1" applyFill="1" applyBorder="1" applyAlignment="1">
      <alignment horizontal="left" vertical="center" wrapText="1"/>
    </xf>
    <xf numFmtId="0" fontId="13" fillId="7" borderId="30" xfId="0" applyFont="1" applyFill="1" applyBorder="1" applyAlignment="1">
      <alignment vertical="center" wrapText="1"/>
    </xf>
    <xf numFmtId="0" fontId="13" fillId="7" borderId="31" xfId="0" applyFont="1" applyFill="1" applyBorder="1" applyAlignment="1">
      <alignment vertical="center" wrapText="1"/>
    </xf>
    <xf numFmtId="0" fontId="13" fillId="7" borderId="32" xfId="0" applyFont="1" applyFill="1" applyBorder="1" applyAlignment="1">
      <alignment vertical="center" wrapText="1"/>
    </xf>
    <xf numFmtId="0" fontId="13" fillId="5" borderId="30" xfId="0" applyFont="1" applyFill="1" applyBorder="1" applyAlignment="1">
      <alignment vertical="center" wrapText="1"/>
    </xf>
    <xf numFmtId="0" fontId="13" fillId="5" borderId="31" xfId="0" applyFont="1" applyFill="1" applyBorder="1" applyAlignment="1">
      <alignment vertical="center" wrapText="1"/>
    </xf>
    <xf numFmtId="0" fontId="13" fillId="5" borderId="38" xfId="0" applyFont="1" applyFill="1" applyBorder="1" applyAlignment="1">
      <alignment vertical="center" wrapText="1"/>
    </xf>
    <xf numFmtId="0" fontId="13" fillId="5" borderId="32" xfId="0" applyFont="1" applyFill="1" applyBorder="1" applyAlignment="1">
      <alignment vertical="center" wrapText="1"/>
    </xf>
    <xf numFmtId="0" fontId="3" fillId="0" borderId="13"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39"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51" xfId="0" applyFont="1" applyBorder="1" applyAlignment="1">
      <alignment horizontal="left" vertical="center" wrapText="1"/>
    </xf>
    <xf numFmtId="0" fontId="3" fillId="0" borderId="53" xfId="0" applyFont="1" applyBorder="1" applyAlignment="1">
      <alignment horizontal="left" vertical="center" wrapText="1"/>
    </xf>
    <xf numFmtId="0" fontId="3" fillId="0" borderId="54" xfId="0" applyFont="1" applyBorder="1" applyAlignment="1">
      <alignment horizontal="left" vertical="center" wrapText="1"/>
    </xf>
    <xf numFmtId="0" fontId="3" fillId="0" borderId="52" xfId="0" applyFont="1" applyBorder="1" applyAlignment="1">
      <alignment horizontal="left"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13" fillId="3" borderId="1" xfId="0" applyFont="1" applyFill="1" applyBorder="1" applyAlignment="1">
      <alignment horizontal="left" vertical="center" wrapText="1"/>
    </xf>
    <xf numFmtId="0" fontId="3" fillId="0" borderId="1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26"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6" fillId="0" borderId="7" xfId="0" applyFont="1" applyBorder="1" applyAlignment="1">
      <alignment vertical="center" wrapText="1"/>
    </xf>
    <xf numFmtId="0" fontId="6" fillId="0" borderId="8"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9" fillId="2" borderId="5" xfId="0" applyFont="1" applyFill="1" applyBorder="1" applyAlignment="1">
      <alignment horizontal="left" vertical="center"/>
    </xf>
    <xf numFmtId="0" fontId="9" fillId="2" borderId="8" xfId="0" applyFont="1" applyFill="1" applyBorder="1" applyAlignment="1">
      <alignment horizontal="left" vertical="center"/>
    </xf>
    <xf numFmtId="0" fontId="10" fillId="3" borderId="5"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164" fontId="14" fillId="0" borderId="12" xfId="1" applyNumberFormat="1" applyFont="1" applyFill="1" applyBorder="1" applyAlignment="1">
      <alignment horizontal="center" vertical="center" wrapText="1"/>
    </xf>
    <xf numFmtId="164" fontId="14" fillId="0" borderId="18" xfId="1" applyNumberFormat="1" applyFont="1" applyFill="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7" xfId="0" applyFont="1" applyBorder="1" applyAlignment="1">
      <alignment horizontal="left" vertical="center" wrapText="1"/>
    </xf>
    <xf numFmtId="0" fontId="3" fillId="0" borderId="22" xfId="0" applyFont="1" applyBorder="1" applyAlignment="1">
      <alignment horizontal="left" vertical="center" wrapText="1"/>
    </xf>
    <xf numFmtId="164" fontId="14" fillId="0" borderId="17" xfId="1" applyNumberFormat="1" applyFont="1" applyFill="1" applyBorder="1" applyAlignment="1">
      <alignment horizontal="center" vertical="center" wrapText="1"/>
    </xf>
    <xf numFmtId="164" fontId="14" fillId="0" borderId="22" xfId="1" applyNumberFormat="1" applyFont="1" applyFill="1" applyBorder="1" applyAlignment="1">
      <alignment horizontal="center" vertical="center" wrapText="1"/>
    </xf>
    <xf numFmtId="164" fontId="14" fillId="0" borderId="13" xfId="1" applyNumberFormat="1" applyFont="1" applyFill="1" applyBorder="1" applyAlignment="1">
      <alignment horizontal="center" vertical="center" wrapText="1"/>
    </xf>
    <xf numFmtId="0" fontId="6" fillId="0" borderId="0" xfId="0" applyFont="1" applyAlignment="1">
      <alignment horizontal="left" vertical="center" wrapText="1"/>
    </xf>
    <xf numFmtId="0" fontId="13" fillId="3" borderId="1" xfId="3" applyFont="1" applyFill="1" applyBorder="1" applyAlignment="1">
      <alignment horizontal="left" vertical="center" wrapText="1"/>
    </xf>
    <xf numFmtId="0" fontId="3" fillId="0" borderId="11" xfId="3" applyFont="1" applyBorder="1" applyAlignment="1">
      <alignment horizontal="center" vertical="center" wrapText="1"/>
    </xf>
    <xf numFmtId="0" fontId="3" fillId="0" borderId="26" xfId="3" applyFont="1" applyBorder="1" applyAlignment="1">
      <alignment horizontal="center" vertical="center" wrapText="1"/>
    </xf>
    <xf numFmtId="0" fontId="3" fillId="0" borderId="12" xfId="3" applyFont="1" applyBorder="1" applyAlignment="1">
      <alignment horizontal="left" vertical="center" wrapText="1"/>
    </xf>
    <xf numFmtId="0" fontId="3" fillId="0" borderId="27" xfId="3" applyFont="1" applyBorder="1" applyAlignment="1">
      <alignment horizontal="left" vertical="center" wrapText="1"/>
    </xf>
    <xf numFmtId="164" fontId="14" fillId="0" borderId="27" xfId="1" applyNumberFormat="1" applyFont="1" applyFill="1" applyBorder="1" applyAlignment="1">
      <alignment horizontal="center" vertical="center" wrapText="1"/>
    </xf>
    <xf numFmtId="0" fontId="13" fillId="3" borderId="1" xfId="0" applyFont="1" applyFill="1" applyBorder="1" applyAlignment="1">
      <alignment horizontal="left" vertical="center"/>
    </xf>
    <xf numFmtId="0" fontId="9" fillId="4" borderId="28" xfId="0" applyFont="1" applyFill="1" applyBorder="1" applyAlignment="1">
      <alignment vertical="center"/>
    </xf>
    <xf numFmtId="0" fontId="9" fillId="4" borderId="29" xfId="0" applyFont="1" applyFill="1" applyBorder="1" applyAlignment="1">
      <alignment vertical="center"/>
    </xf>
    <xf numFmtId="0" fontId="10" fillId="5" borderId="5" xfId="0" applyFont="1" applyFill="1" applyBorder="1" applyAlignment="1">
      <alignment horizontal="left" vertical="center" wrapText="1"/>
    </xf>
    <xf numFmtId="0" fontId="10" fillId="5" borderId="6"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3" fillId="5" borderId="30" xfId="0" applyFont="1" applyFill="1" applyBorder="1" applyAlignment="1">
      <alignment horizontal="left" vertical="center" wrapText="1"/>
    </xf>
    <xf numFmtId="0" fontId="13" fillId="5" borderId="31" xfId="0" applyFont="1" applyFill="1" applyBorder="1" applyAlignment="1">
      <alignment horizontal="left" vertical="center" wrapText="1"/>
    </xf>
    <xf numFmtId="0" fontId="13" fillId="5" borderId="32" xfId="0" applyFont="1" applyFill="1" applyBorder="1" applyAlignment="1">
      <alignment horizontal="left" vertical="center" wrapText="1"/>
    </xf>
    <xf numFmtId="0" fontId="16" fillId="0" borderId="12"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27" xfId="0" applyFont="1" applyBorder="1" applyAlignment="1">
      <alignment horizontal="center" vertical="center" wrapText="1"/>
    </xf>
    <xf numFmtId="0" fontId="13" fillId="5" borderId="38" xfId="0" applyFont="1" applyFill="1" applyBorder="1" applyAlignment="1">
      <alignment horizontal="left" vertical="center" wrapText="1"/>
    </xf>
    <xf numFmtId="0" fontId="3" fillId="0" borderId="13" xfId="0" applyFont="1" applyBorder="1" applyAlignment="1">
      <alignment horizontal="left" vertical="center" wrapText="1"/>
    </xf>
    <xf numFmtId="0" fontId="16" fillId="0" borderId="13" xfId="0" applyFont="1" applyBorder="1" applyAlignment="1">
      <alignment horizontal="center" vertical="center" wrapText="1"/>
    </xf>
    <xf numFmtId="0" fontId="16" fillId="0" borderId="17"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7"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22" xfId="0" applyFont="1" applyBorder="1" applyAlignment="1">
      <alignment horizontal="center" vertical="center" wrapText="1"/>
    </xf>
    <xf numFmtId="0" fontId="13" fillId="12" borderId="30" xfId="0" applyFont="1" applyFill="1" applyBorder="1" applyAlignment="1">
      <alignment vertical="center" wrapText="1"/>
    </xf>
    <xf numFmtId="0" fontId="13" fillId="12" borderId="31" xfId="0" applyFont="1" applyFill="1" applyBorder="1" applyAlignment="1">
      <alignment vertical="center"/>
    </xf>
    <xf numFmtId="0" fontId="13" fillId="12" borderId="32" xfId="0" applyFont="1" applyFill="1" applyBorder="1" applyAlignment="1">
      <alignment vertical="center"/>
    </xf>
    <xf numFmtId="0" fontId="13" fillId="12" borderId="41" xfId="0" applyFont="1" applyFill="1" applyBorder="1" applyAlignment="1">
      <alignment horizontal="left" vertical="center" wrapText="1"/>
    </xf>
    <xf numFmtId="0" fontId="13" fillId="12" borderId="31" xfId="0" applyFont="1" applyFill="1" applyBorder="1" applyAlignment="1">
      <alignment horizontal="left" vertical="center" wrapText="1"/>
    </xf>
    <xf numFmtId="0" fontId="13" fillId="12" borderId="32" xfId="0" applyFont="1" applyFill="1" applyBorder="1" applyAlignment="1">
      <alignment horizontal="left" vertical="center" wrapText="1"/>
    </xf>
    <xf numFmtId="0" fontId="3" fillId="0" borderId="12"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27" xfId="0" applyFont="1" applyBorder="1" applyAlignment="1">
      <alignment horizontal="center" vertical="center" wrapText="1"/>
    </xf>
    <xf numFmtId="0" fontId="13" fillId="9" borderId="30" xfId="0" applyFont="1" applyFill="1" applyBorder="1" applyAlignment="1">
      <alignment horizontal="left" vertical="center" wrapText="1"/>
    </xf>
    <xf numFmtId="0" fontId="13" fillId="9" borderId="31" xfId="0" applyFont="1" applyFill="1" applyBorder="1" applyAlignment="1">
      <alignment horizontal="left" vertical="center"/>
    </xf>
    <xf numFmtId="0" fontId="13" fillId="9" borderId="32" xfId="0" applyFont="1" applyFill="1" applyBorder="1" applyAlignment="1">
      <alignment horizontal="left" vertical="center"/>
    </xf>
    <xf numFmtId="0" fontId="13" fillId="9" borderId="31" xfId="0" applyFont="1" applyFill="1" applyBorder="1" applyAlignment="1">
      <alignment horizontal="left" vertical="center" wrapText="1"/>
    </xf>
    <xf numFmtId="0" fontId="13" fillId="9" borderId="32" xfId="0" applyFont="1" applyFill="1" applyBorder="1" applyAlignment="1">
      <alignment horizontal="left" vertical="center" wrapText="1"/>
    </xf>
    <xf numFmtId="0" fontId="21" fillId="10" borderId="28" xfId="0" applyFont="1" applyFill="1" applyBorder="1" applyAlignment="1">
      <alignment vertical="center"/>
    </xf>
    <xf numFmtId="0" fontId="21" fillId="10" borderId="29" xfId="0" applyFont="1" applyFill="1" applyBorder="1" applyAlignment="1">
      <alignment vertical="center"/>
    </xf>
    <xf numFmtId="0" fontId="10" fillId="11" borderId="5" xfId="0" applyFont="1" applyFill="1" applyBorder="1" applyAlignment="1">
      <alignment horizontal="left" vertical="center" wrapText="1"/>
    </xf>
    <xf numFmtId="0" fontId="10" fillId="11" borderId="6"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9" xfId="0" applyFont="1" applyFill="1" applyBorder="1" applyAlignment="1">
      <alignment horizontal="left" vertical="center" wrapText="1"/>
    </xf>
    <xf numFmtId="0" fontId="13" fillId="12" borderId="30" xfId="0" applyFont="1" applyFill="1" applyBorder="1" applyAlignment="1">
      <alignment horizontal="left" vertical="center" wrapText="1"/>
    </xf>
    <xf numFmtId="0" fontId="13" fillId="12" borderId="31" xfId="0" applyFont="1" applyFill="1" applyBorder="1" applyAlignment="1">
      <alignment horizontal="left" vertical="center"/>
    </xf>
    <xf numFmtId="0" fontId="13" fillId="12" borderId="32" xfId="0" applyFont="1" applyFill="1" applyBorder="1" applyAlignment="1">
      <alignment horizontal="left" vertical="center"/>
    </xf>
    <xf numFmtId="0" fontId="13" fillId="7" borderId="30" xfId="0" applyFont="1" applyFill="1" applyBorder="1" applyAlignment="1">
      <alignment horizontal="left" vertical="center" wrapText="1"/>
    </xf>
    <xf numFmtId="0" fontId="13" fillId="7" borderId="31" xfId="0" applyFont="1" applyFill="1" applyBorder="1" applyAlignment="1">
      <alignment horizontal="left" vertical="center" wrapText="1"/>
    </xf>
    <xf numFmtId="0" fontId="13" fillId="7" borderId="32" xfId="0" applyFont="1" applyFill="1" applyBorder="1" applyAlignment="1">
      <alignment horizontal="left" vertical="center" wrapText="1"/>
    </xf>
    <xf numFmtId="0" fontId="9" fillId="8" borderId="28" xfId="0" applyFont="1" applyFill="1" applyBorder="1" applyAlignment="1">
      <alignment vertical="center"/>
    </xf>
    <xf numFmtId="0" fontId="9" fillId="8" borderId="29" xfId="0" applyFont="1" applyFill="1" applyBorder="1" applyAlignment="1">
      <alignment vertical="center"/>
    </xf>
    <xf numFmtId="0" fontId="10" fillId="9" borderId="5" xfId="0" applyFont="1" applyFill="1" applyBorder="1" applyAlignment="1">
      <alignment horizontal="left" vertical="center"/>
    </xf>
    <xf numFmtId="0" fontId="10" fillId="9" borderId="6" xfId="0" applyFont="1" applyFill="1" applyBorder="1" applyAlignment="1">
      <alignment horizontal="left" vertical="center"/>
    </xf>
    <xf numFmtId="0" fontId="10" fillId="9" borderId="8" xfId="0" applyFont="1" applyFill="1" applyBorder="1" applyAlignment="1">
      <alignment horizontal="left" vertical="center"/>
    </xf>
    <xf numFmtId="0" fontId="10" fillId="9" borderId="9" xfId="0" applyFont="1" applyFill="1" applyBorder="1" applyAlignment="1">
      <alignment horizontal="left" vertical="center"/>
    </xf>
    <xf numFmtId="0" fontId="36" fillId="0" borderId="1" xfId="0" applyFont="1" applyBorder="1" applyAlignment="1">
      <alignment horizontal="center" vertical="center" wrapText="1"/>
    </xf>
    <xf numFmtId="0" fontId="44" fillId="0" borderId="42" xfId="0" applyFont="1" applyBorder="1" applyAlignment="1">
      <alignment horizontal="center" vertical="center" wrapText="1"/>
    </xf>
    <xf numFmtId="0" fontId="44" fillId="0" borderId="43" xfId="0" applyFont="1" applyBorder="1" applyAlignment="1">
      <alignment horizontal="center" vertical="center" wrapText="1"/>
    </xf>
    <xf numFmtId="0" fontId="44" fillId="0" borderId="44" xfId="0" applyFont="1" applyBorder="1" applyAlignment="1">
      <alignment horizontal="center" vertical="center" wrapText="1"/>
    </xf>
    <xf numFmtId="0" fontId="9" fillId="7" borderId="1" xfId="0" applyFont="1" applyFill="1" applyBorder="1" applyAlignment="1">
      <alignment horizontal="left" vertical="center" wrapText="1"/>
    </xf>
    <xf numFmtId="0" fontId="9" fillId="7" borderId="1" xfId="0" applyFont="1" applyFill="1" applyBorder="1" applyAlignment="1">
      <alignment horizontal="left" vertical="center"/>
    </xf>
    <xf numFmtId="0" fontId="10" fillId="7" borderId="7" xfId="0" applyFont="1" applyFill="1" applyBorder="1" applyAlignment="1">
      <alignment horizontal="left" vertical="center" wrapText="1"/>
    </xf>
    <xf numFmtId="0" fontId="10" fillId="7" borderId="10" xfId="0" applyFont="1" applyFill="1" applyBorder="1" applyAlignment="1">
      <alignment horizontal="left" vertical="center" wrapText="1"/>
    </xf>
    <xf numFmtId="0" fontId="44" fillId="14" borderId="42" xfId="0" applyFont="1" applyFill="1" applyBorder="1" applyAlignment="1">
      <alignment horizontal="center" vertical="center" wrapText="1"/>
    </xf>
    <xf numFmtId="0" fontId="44" fillId="14" borderId="43" xfId="0" applyFont="1" applyFill="1" applyBorder="1" applyAlignment="1">
      <alignment horizontal="center" vertical="center" wrapText="1"/>
    </xf>
    <xf numFmtId="0" fontId="44" fillId="14" borderId="44" xfId="0" applyFont="1" applyFill="1" applyBorder="1" applyAlignment="1">
      <alignment horizontal="center" vertical="center" wrapText="1"/>
    </xf>
    <xf numFmtId="0" fontId="36" fillId="14" borderId="1" xfId="0" applyFont="1" applyFill="1" applyBorder="1" applyAlignment="1">
      <alignment horizontal="left" vertical="center" wrapText="1"/>
    </xf>
    <xf numFmtId="0" fontId="16" fillId="14" borderId="12" xfId="0" applyFont="1" applyFill="1" applyBorder="1" applyAlignment="1">
      <alignment horizontal="center" vertical="center" wrapText="1"/>
    </xf>
    <xf numFmtId="0" fontId="16" fillId="14" borderId="16" xfId="0" applyFont="1" applyFill="1" applyBorder="1" applyAlignment="1">
      <alignment horizontal="center" vertical="center" wrapText="1"/>
    </xf>
    <xf numFmtId="0" fontId="16" fillId="14" borderId="27" xfId="0" applyFont="1" applyFill="1" applyBorder="1" applyAlignment="1">
      <alignment horizontal="center" vertical="center" wrapText="1"/>
    </xf>
    <xf numFmtId="0" fontId="9" fillId="14" borderId="1" xfId="0" applyFont="1" applyFill="1" applyBorder="1" applyAlignment="1">
      <alignment vertical="center" wrapText="1"/>
    </xf>
    <xf numFmtId="0" fontId="36" fillId="14" borderId="1" xfId="0" applyFont="1" applyFill="1" applyBorder="1" applyAlignment="1">
      <alignment horizontal="center" vertical="center" wrapText="1"/>
    </xf>
    <xf numFmtId="0" fontId="44" fillId="14" borderId="45" xfId="0" applyFont="1" applyFill="1" applyBorder="1" applyAlignment="1">
      <alignment horizontal="center" vertical="center" wrapText="1"/>
    </xf>
    <xf numFmtId="0" fontId="15" fillId="14" borderId="33" xfId="0" applyFont="1" applyFill="1" applyBorder="1" applyAlignment="1">
      <alignment horizontal="left" vertical="center" wrapText="1"/>
    </xf>
    <xf numFmtId="0" fontId="15" fillId="14" borderId="34" xfId="0" applyFont="1" applyFill="1" applyBorder="1" applyAlignment="1">
      <alignment horizontal="left" vertical="center" wrapText="1"/>
    </xf>
    <xf numFmtId="0" fontId="15" fillId="14" borderId="35" xfId="0" applyFont="1" applyFill="1" applyBorder="1" applyAlignment="1">
      <alignment horizontal="left" vertical="center" wrapText="1"/>
    </xf>
    <xf numFmtId="0" fontId="2" fillId="14" borderId="3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9" fillId="14" borderId="42" xfId="0" applyFont="1" applyFill="1" applyBorder="1" applyAlignment="1">
      <alignment vertical="center" wrapText="1"/>
    </xf>
    <xf numFmtId="0" fontId="9" fillId="14" borderId="43" xfId="0" applyFont="1" applyFill="1" applyBorder="1" applyAlignment="1">
      <alignment vertical="center" wrapText="1"/>
    </xf>
    <xf numFmtId="0" fontId="9" fillId="14" borderId="44" xfId="0" applyFont="1" applyFill="1" applyBorder="1" applyAlignment="1">
      <alignment vertical="center" wrapText="1"/>
    </xf>
    <xf numFmtId="0" fontId="15" fillId="14" borderId="30" xfId="0" applyFont="1" applyFill="1" applyBorder="1" applyAlignment="1">
      <alignment horizontal="left" vertical="center" wrapText="1"/>
    </xf>
    <xf numFmtId="0" fontId="15" fillId="14" borderId="31" xfId="0" applyFont="1" applyFill="1" applyBorder="1" applyAlignment="1">
      <alignment horizontal="left" vertical="center" wrapText="1"/>
    </xf>
    <xf numFmtId="0" fontId="15" fillId="14" borderId="32" xfId="0" applyFont="1" applyFill="1" applyBorder="1" applyAlignment="1">
      <alignment horizontal="left" vertical="center" wrapText="1"/>
    </xf>
    <xf numFmtId="0" fontId="15" fillId="14" borderId="38" xfId="0" applyFont="1" applyFill="1" applyBorder="1" applyAlignment="1">
      <alignment horizontal="left" vertical="center" wrapText="1"/>
    </xf>
    <xf numFmtId="0" fontId="36" fillId="14" borderId="42" xfId="0" applyFont="1" applyFill="1" applyBorder="1" applyAlignment="1">
      <alignment horizontal="center" vertical="center" wrapText="1"/>
    </xf>
    <xf numFmtId="0" fontId="36" fillId="14" borderId="45" xfId="0" applyFont="1" applyFill="1" applyBorder="1" applyAlignment="1">
      <alignment horizontal="center" vertical="center" wrapText="1"/>
    </xf>
    <xf numFmtId="0" fontId="36" fillId="14" borderId="43" xfId="0" applyFont="1" applyFill="1" applyBorder="1" applyAlignment="1">
      <alignment horizontal="center" vertical="center" wrapText="1"/>
    </xf>
    <xf numFmtId="0" fontId="36" fillId="14" borderId="44" xfId="0" applyFont="1" applyFill="1" applyBorder="1" applyAlignment="1">
      <alignment horizontal="center" vertical="center" wrapText="1"/>
    </xf>
    <xf numFmtId="0" fontId="36" fillId="14" borderId="42" xfId="0" applyFont="1" applyFill="1" applyBorder="1" applyAlignment="1">
      <alignment horizontal="left" vertical="center" wrapText="1"/>
    </xf>
    <xf numFmtId="0" fontId="36" fillId="14" borderId="45" xfId="0" applyFont="1" applyFill="1" applyBorder="1" applyAlignment="1">
      <alignment horizontal="left" vertical="center" wrapText="1"/>
    </xf>
    <xf numFmtId="0" fontId="36" fillId="14" borderId="43" xfId="0" applyFont="1" applyFill="1" applyBorder="1" applyAlignment="1">
      <alignment horizontal="left" vertical="center" wrapText="1"/>
    </xf>
    <xf numFmtId="0" fontId="36" fillId="14" borderId="44" xfId="0" applyFont="1" applyFill="1" applyBorder="1" applyAlignment="1">
      <alignment horizontal="left" vertical="center" wrapText="1"/>
    </xf>
    <xf numFmtId="0" fontId="16" fillId="14" borderId="13" xfId="0" applyFont="1" applyFill="1" applyBorder="1" applyAlignment="1">
      <alignment horizontal="center" vertical="center" wrapText="1"/>
    </xf>
    <xf numFmtId="0" fontId="16" fillId="14" borderId="17" xfId="0" applyFont="1" applyFill="1" applyBorder="1" applyAlignment="1">
      <alignment horizontal="center" vertical="center" wrapText="1"/>
    </xf>
    <xf numFmtId="0" fontId="16" fillId="14" borderId="55" xfId="0" applyFont="1" applyFill="1" applyBorder="1" applyAlignment="1">
      <alignment horizontal="center" vertical="center" wrapText="1"/>
    </xf>
    <xf numFmtId="0" fontId="16" fillId="14" borderId="21" xfId="0" applyFont="1" applyFill="1" applyBorder="1" applyAlignment="1">
      <alignment horizontal="center" vertical="center" wrapText="1"/>
    </xf>
    <xf numFmtId="0" fontId="9" fillId="32" borderId="3" xfId="0" applyFont="1" applyFill="1" applyBorder="1" applyAlignment="1">
      <alignment horizontal="center" vertical="center"/>
    </xf>
    <xf numFmtId="0" fontId="9" fillId="32" borderId="4" xfId="0" applyFont="1" applyFill="1" applyBorder="1" applyAlignment="1">
      <alignment horizontal="center" vertical="center"/>
    </xf>
    <xf numFmtId="0" fontId="36" fillId="0" borderId="42" xfId="0" applyFont="1" applyBorder="1" applyAlignment="1">
      <alignment horizontal="center" vertical="center" wrapText="1"/>
    </xf>
    <xf numFmtId="0" fontId="36" fillId="0" borderId="44" xfId="0" applyFont="1" applyBorder="1" applyAlignment="1">
      <alignment horizontal="center" vertical="center" wrapText="1"/>
    </xf>
    <xf numFmtId="0" fontId="36" fillId="0" borderId="42" xfId="0" applyFont="1" applyBorder="1" applyAlignment="1">
      <alignment horizontal="left" vertical="center" wrapText="1"/>
    </xf>
    <xf numFmtId="0" fontId="36" fillId="0" borderId="44" xfId="0" applyFont="1" applyBorder="1" applyAlignment="1">
      <alignment horizontal="left" vertical="center" wrapText="1"/>
    </xf>
    <xf numFmtId="164" fontId="39" fillId="0" borderId="42" xfId="1" applyNumberFormat="1" applyFont="1" applyFill="1" applyBorder="1" applyAlignment="1">
      <alignment horizontal="center" vertical="center" wrapText="1"/>
    </xf>
    <xf numFmtId="164" fontId="39" fillId="0" borderId="44" xfId="1" applyNumberFormat="1" applyFont="1" applyFill="1" applyBorder="1" applyAlignment="1">
      <alignment horizontal="center" vertical="center" wrapText="1"/>
    </xf>
    <xf numFmtId="0" fontId="9" fillId="5" borderId="0" xfId="0" applyFont="1" applyFill="1" applyAlignment="1">
      <alignment horizontal="left" vertical="center" wrapText="1"/>
    </xf>
    <xf numFmtId="0" fontId="9" fillId="5" borderId="9" xfId="0" applyFont="1" applyFill="1" applyBorder="1" applyAlignment="1">
      <alignment horizontal="left" vertical="center" wrapText="1"/>
    </xf>
    <xf numFmtId="0" fontId="10" fillId="5" borderId="0" xfId="0" applyFont="1" applyFill="1" applyAlignment="1">
      <alignment horizontal="left" vertical="center" wrapText="1"/>
    </xf>
    <xf numFmtId="0" fontId="38" fillId="0" borderId="0" xfId="0" applyFont="1" applyAlignment="1">
      <alignment horizontal="center" vertical="center"/>
    </xf>
    <xf numFmtId="0" fontId="28" fillId="14" borderId="42" xfId="0" applyFont="1" applyFill="1" applyBorder="1" applyAlignment="1">
      <alignment horizontal="left" vertical="center" wrapText="1"/>
    </xf>
    <xf numFmtId="0" fontId="28" fillId="14" borderId="43" xfId="0" applyFont="1" applyFill="1" applyBorder="1" applyAlignment="1">
      <alignment horizontal="left" vertical="center" wrapText="1"/>
    </xf>
    <xf numFmtId="0" fontId="28" fillId="14" borderId="46" xfId="0" applyFont="1" applyFill="1" applyBorder="1" applyAlignment="1">
      <alignment horizontal="left" vertical="center" wrapText="1"/>
    </xf>
    <xf numFmtId="0" fontId="36" fillId="0" borderId="43" xfId="0" applyFont="1" applyBorder="1" applyAlignment="1">
      <alignment horizontal="center" vertical="center" wrapText="1"/>
    </xf>
    <xf numFmtId="0" fontId="36" fillId="0" borderId="46" xfId="0" applyFont="1" applyBorder="1" applyAlignment="1">
      <alignment horizontal="center" vertical="center" wrapText="1"/>
    </xf>
    <xf numFmtId="0" fontId="36" fillId="0" borderId="43" xfId="0" applyFont="1" applyBorder="1" applyAlignment="1">
      <alignment horizontal="left" vertical="center" wrapText="1"/>
    </xf>
    <xf numFmtId="0" fontId="36" fillId="0" borderId="46" xfId="0" applyFont="1" applyBorder="1" applyAlignment="1">
      <alignment horizontal="left" vertical="center" wrapText="1"/>
    </xf>
    <xf numFmtId="164" fontId="39" fillId="0" borderId="43" xfId="1" applyNumberFormat="1" applyFont="1" applyFill="1" applyBorder="1" applyAlignment="1">
      <alignment horizontal="center" vertical="center" wrapText="1"/>
    </xf>
    <xf numFmtId="164" fontId="39" fillId="0" borderId="46" xfId="1" applyNumberFormat="1" applyFont="1" applyFill="1" applyBorder="1" applyAlignment="1">
      <alignment horizontal="center" vertical="center" wrapText="1"/>
    </xf>
    <xf numFmtId="0" fontId="28" fillId="14" borderId="42" xfId="0" applyFont="1" applyFill="1" applyBorder="1" applyAlignment="1">
      <alignment horizontal="right" vertical="center" wrapText="1"/>
    </xf>
    <xf numFmtId="0" fontId="28" fillId="14" borderId="44" xfId="0" applyFont="1" applyFill="1" applyBorder="1" applyAlignment="1">
      <alignment horizontal="right" vertical="center"/>
    </xf>
    <xf numFmtId="0" fontId="28" fillId="14" borderId="45" xfId="0" applyFont="1" applyFill="1" applyBorder="1" applyAlignment="1">
      <alignment horizontal="right" vertical="center" wrapText="1"/>
    </xf>
    <xf numFmtId="0" fontId="28" fillId="14" borderId="43" xfId="0" applyFont="1" applyFill="1" applyBorder="1" applyAlignment="1">
      <alignment horizontal="right" vertical="center" wrapText="1"/>
    </xf>
    <xf numFmtId="0" fontId="28" fillId="14" borderId="46" xfId="0" applyFont="1" applyFill="1" applyBorder="1" applyAlignment="1">
      <alignment horizontal="right" vertical="center" wrapText="1"/>
    </xf>
    <xf numFmtId="0" fontId="36" fillId="0" borderId="45" xfId="0" applyFont="1" applyBorder="1" applyAlignment="1">
      <alignment horizontal="center" vertical="center" wrapText="1"/>
    </xf>
    <xf numFmtId="164" fontId="39" fillId="0" borderId="45" xfId="1" applyNumberFormat="1" applyFont="1" applyFill="1" applyBorder="1" applyAlignment="1">
      <alignment horizontal="center" vertical="center" wrapText="1"/>
    </xf>
    <xf numFmtId="0" fontId="28" fillId="14" borderId="44" xfId="0" applyFont="1" applyFill="1" applyBorder="1" applyAlignment="1">
      <alignment horizontal="right" vertical="center" wrapText="1"/>
    </xf>
    <xf numFmtId="0" fontId="47" fillId="40" borderId="6" xfId="0" applyFont="1" applyFill="1" applyBorder="1" applyAlignment="1">
      <alignment horizontal="center" vertical="center"/>
    </xf>
    <xf numFmtId="0" fontId="47" fillId="40" borderId="7" xfId="0" applyFont="1" applyFill="1" applyBorder="1" applyAlignment="1">
      <alignment horizontal="center" vertical="center"/>
    </xf>
    <xf numFmtId="0" fontId="47" fillId="40" borderId="9" xfId="0" applyFont="1" applyFill="1" applyBorder="1" applyAlignment="1">
      <alignment horizontal="center" vertical="center"/>
    </xf>
    <xf numFmtId="0" fontId="47" fillId="40" borderId="10" xfId="0" applyFont="1" applyFill="1" applyBorder="1" applyAlignment="1">
      <alignment horizontal="center" vertical="center"/>
    </xf>
    <xf numFmtId="0" fontId="9" fillId="14" borderId="1" xfId="0" applyFont="1" applyFill="1" applyBorder="1" applyAlignment="1">
      <alignment vertical="center"/>
    </xf>
    <xf numFmtId="0" fontId="36" fillId="0" borderId="28" xfId="0" applyFont="1" applyBorder="1" applyAlignment="1">
      <alignment horizontal="center" vertical="center" wrapText="1"/>
    </xf>
    <xf numFmtId="0" fontId="36" fillId="0" borderId="29" xfId="0" applyFont="1" applyBorder="1" applyAlignment="1">
      <alignment horizontal="center" vertical="center" wrapText="1"/>
    </xf>
    <xf numFmtId="0" fontId="35" fillId="0" borderId="4" xfId="0" applyFont="1" applyBorder="1" applyAlignment="1">
      <alignment horizontal="left" vertical="center"/>
    </xf>
    <xf numFmtId="0" fontId="35" fillId="0" borderId="1" xfId="0" applyFont="1" applyBorder="1" applyAlignment="1">
      <alignment horizontal="left" vertical="center"/>
    </xf>
    <xf numFmtId="0" fontId="9" fillId="9" borderId="1" xfId="0" applyFont="1" applyFill="1" applyBorder="1" applyAlignment="1">
      <alignment horizontal="left" vertical="center"/>
    </xf>
    <xf numFmtId="0" fontId="10" fillId="9" borderId="5" xfId="0" applyFont="1" applyFill="1" applyBorder="1" applyAlignment="1">
      <alignment horizontal="center" vertical="center"/>
    </xf>
    <xf numFmtId="0" fontId="10" fillId="9" borderId="6" xfId="0" applyFont="1" applyFill="1" applyBorder="1" applyAlignment="1">
      <alignment horizontal="center" vertical="center"/>
    </xf>
    <xf numFmtId="0" fontId="10" fillId="9" borderId="7" xfId="0" applyFont="1" applyFill="1" applyBorder="1" applyAlignment="1">
      <alignment horizontal="center" vertical="center"/>
    </xf>
    <xf numFmtId="0" fontId="10" fillId="9" borderId="8" xfId="0" applyFont="1" applyFill="1" applyBorder="1" applyAlignment="1">
      <alignment horizontal="center" vertical="center"/>
    </xf>
    <xf numFmtId="0" fontId="10" fillId="9" borderId="9" xfId="0" applyFont="1" applyFill="1" applyBorder="1" applyAlignment="1">
      <alignment horizontal="center" vertical="center"/>
    </xf>
    <xf numFmtId="0" fontId="10" fillId="9" borderId="10" xfId="0" applyFont="1" applyFill="1" applyBorder="1" applyAlignment="1">
      <alignment horizontal="center" vertical="center"/>
    </xf>
    <xf numFmtId="0" fontId="9" fillId="14" borderId="1" xfId="0" applyFont="1" applyFill="1" applyBorder="1" applyAlignment="1">
      <alignment horizontal="left" vertical="center" wrapText="1"/>
    </xf>
    <xf numFmtId="0" fontId="9" fillId="14" borderId="1" xfId="0" applyFont="1" applyFill="1" applyBorder="1" applyAlignment="1">
      <alignment horizontal="left" vertical="center"/>
    </xf>
    <xf numFmtId="0" fontId="9" fillId="11" borderId="1" xfId="0" applyFont="1" applyFill="1" applyBorder="1" applyAlignment="1">
      <alignment horizontal="left" vertical="center"/>
    </xf>
    <xf numFmtId="0" fontId="60" fillId="11" borderId="1" xfId="0" applyFont="1" applyFill="1" applyBorder="1" applyAlignment="1">
      <alignment horizontal="left" vertical="center"/>
    </xf>
    <xf numFmtId="0" fontId="10" fillId="11" borderId="7" xfId="0" applyFont="1" applyFill="1" applyBorder="1" applyAlignment="1">
      <alignment horizontal="left" vertical="center" wrapText="1"/>
    </xf>
    <xf numFmtId="0" fontId="10" fillId="11" borderId="10" xfId="0" applyFont="1" applyFill="1" applyBorder="1" applyAlignment="1">
      <alignment horizontal="left" vertical="center" wrapText="1"/>
    </xf>
    <xf numFmtId="0" fontId="36" fillId="0" borderId="1" xfId="0" applyFont="1" applyBorder="1" applyAlignment="1">
      <alignment horizontal="left" vertical="center" wrapText="1"/>
    </xf>
    <xf numFmtId="0" fontId="52" fillId="20" borderId="1" xfId="0" applyFont="1" applyFill="1" applyBorder="1" applyAlignment="1">
      <alignment horizontal="center" vertical="center" wrapText="1"/>
    </xf>
    <xf numFmtId="0" fontId="43" fillId="0" borderId="5" xfId="0" applyFont="1" applyBorder="1" applyAlignment="1">
      <alignment horizontal="left" vertical="center" wrapText="1"/>
    </xf>
    <xf numFmtId="0" fontId="36" fillId="0" borderId="6" xfId="0" applyFont="1" applyBorder="1" applyAlignment="1">
      <alignment horizontal="left" vertical="center" wrapText="1"/>
    </xf>
    <xf numFmtId="0" fontId="36" fillId="0" borderId="7" xfId="0" applyFont="1" applyBorder="1" applyAlignment="1">
      <alignment horizontal="left" vertical="center" wrapText="1"/>
    </xf>
    <xf numFmtId="0" fontId="36" fillId="0" borderId="36" xfId="0" applyFont="1" applyBorder="1" applyAlignment="1">
      <alignment horizontal="left" vertical="center" wrapText="1"/>
    </xf>
    <xf numFmtId="0" fontId="36" fillId="0" borderId="0" xfId="0" applyFont="1" applyAlignment="1">
      <alignment horizontal="left" vertical="center" wrapText="1"/>
    </xf>
    <xf numFmtId="0" fontId="36" fillId="0" borderId="37" xfId="0" applyFont="1" applyBorder="1" applyAlignment="1">
      <alignment horizontal="left" vertical="center" wrapText="1"/>
    </xf>
    <xf numFmtId="0" fontId="36" fillId="0" borderId="8" xfId="0" applyFont="1" applyBorder="1" applyAlignment="1">
      <alignment horizontal="left" vertical="center" wrapText="1"/>
    </xf>
    <xf numFmtId="0" fontId="36" fillId="0" borderId="9" xfId="0" applyFont="1" applyBorder="1" applyAlignment="1">
      <alignment horizontal="left" vertical="center" wrapText="1"/>
    </xf>
    <xf numFmtId="0" fontId="36" fillId="0" borderId="10" xfId="0" applyFont="1" applyBorder="1" applyAlignment="1">
      <alignment horizontal="left" vertical="center" wrapText="1"/>
    </xf>
    <xf numFmtId="0" fontId="17" fillId="16" borderId="1" xfId="0" applyFont="1" applyFill="1" applyBorder="1" applyAlignment="1" applyProtection="1">
      <alignment horizontal="center" vertical="center" wrapText="1"/>
      <protection locked="0"/>
    </xf>
    <xf numFmtId="0" fontId="2" fillId="41" borderId="36" xfId="0" applyFont="1" applyFill="1" applyBorder="1" applyAlignment="1" applyProtection="1">
      <alignment horizontal="center" vertical="center" wrapText="1"/>
      <protection locked="0"/>
    </xf>
    <xf numFmtId="0" fontId="2" fillId="41" borderId="0" xfId="0" applyFont="1" applyFill="1" applyAlignment="1" applyProtection="1">
      <alignment horizontal="center" vertical="center" wrapText="1"/>
      <protection locked="0"/>
    </xf>
    <xf numFmtId="0" fontId="59" fillId="0" borderId="0" xfId="0" applyFont="1" applyAlignment="1">
      <alignment horizontal="center" vertical="center"/>
    </xf>
    <xf numFmtId="0" fontId="2" fillId="41" borderId="36" xfId="0" applyFont="1" applyFill="1" applyBorder="1" applyAlignment="1">
      <alignment horizontal="center" vertical="center" wrapText="1"/>
    </xf>
    <xf numFmtId="0" fontId="2" fillId="41" borderId="0" xfId="0" applyFont="1" applyFill="1" applyAlignment="1">
      <alignment horizontal="center" vertical="center" wrapText="1"/>
    </xf>
    <xf numFmtId="0" fontId="17" fillId="15" borderId="1" xfId="0" applyFont="1" applyFill="1" applyBorder="1" applyAlignment="1" applyProtection="1">
      <alignment horizontal="center" vertical="center" wrapText="1"/>
      <protection locked="0"/>
    </xf>
    <xf numFmtId="0" fontId="18" fillId="0" borderId="0" xfId="0" applyFont="1" applyAlignment="1">
      <alignment vertical="center" wrapText="1"/>
    </xf>
    <xf numFmtId="0" fontId="17" fillId="15"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8" fillId="0" borderId="1" xfId="0" applyFont="1" applyBorder="1" applyAlignment="1" applyProtection="1">
      <alignment horizontal="center" vertical="center" wrapText="1"/>
      <protection locked="0"/>
    </xf>
    <xf numFmtId="0" fontId="18" fillId="0" borderId="28" xfId="0" applyFont="1" applyBorder="1" applyAlignment="1" applyProtection="1">
      <alignment horizontal="center" vertical="center" wrapText="1"/>
      <protection locked="0"/>
    </xf>
    <xf numFmtId="0" fontId="18" fillId="0" borderId="1" xfId="0" applyFont="1" applyBorder="1" applyAlignment="1">
      <alignment horizontal="center" vertical="center" wrapText="1"/>
    </xf>
    <xf numFmtId="0" fontId="18" fillId="0" borderId="28" xfId="0" applyFont="1" applyBorder="1" applyAlignment="1">
      <alignment horizontal="center" vertical="center" wrapText="1"/>
    </xf>
    <xf numFmtId="0" fontId="9" fillId="19" borderId="1" xfId="0" applyFont="1" applyFill="1" applyBorder="1" applyAlignment="1">
      <alignment horizontal="center" vertical="center" wrapText="1"/>
    </xf>
    <xf numFmtId="0" fontId="10" fillId="19" borderId="1" xfId="0" applyFont="1" applyFill="1" applyBorder="1" applyAlignment="1">
      <alignment horizontal="center" vertical="center" wrapText="1"/>
    </xf>
  </cellXfs>
  <cellStyles count="4">
    <cellStyle name="Comma" xfId="1" builtinId="3"/>
    <cellStyle name="Normal" xfId="0" builtinId="0"/>
    <cellStyle name="Normal 2" xfId="2" xr:uid="{00000000-0005-0000-0000-000002000000}"/>
    <cellStyle name="Normal 2 2" xfId="3" xr:uid="{93BF0ECF-76FC-49B0-8862-2CA8CFF07D8A}"/>
  </cellStyles>
  <dxfs count="0"/>
  <tableStyles count="0" defaultTableStyle="TableStyleMedium2" defaultPivotStyle="PivotStyleLight16"/>
  <colors>
    <mruColors>
      <color rgb="FF00FF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5</xdr:col>
      <xdr:colOff>628649</xdr:colOff>
      <xdr:row>11</xdr:row>
      <xdr:rowOff>82829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790575"/>
          <a:ext cx="6753224" cy="3730904"/>
        </a:xfrm>
        <a:prstGeom prst="rect">
          <a:avLst/>
        </a:prstGeom>
      </xdr:spPr>
    </xdr:pic>
    <xdr:clientData/>
  </xdr:twoCellAnchor>
  <xdr:twoCellAnchor editAs="oneCell">
    <xdr:from>
      <xdr:col>0</xdr:col>
      <xdr:colOff>9525</xdr:colOff>
      <xdr:row>3</xdr:row>
      <xdr:rowOff>9525</xdr:rowOff>
    </xdr:from>
    <xdr:to>
      <xdr:col>5</xdr:col>
      <xdr:colOff>628650</xdr:colOff>
      <xdr:row>11</xdr:row>
      <xdr:rowOff>66675</xdr:rowOff>
    </xdr:to>
    <xdr:pic>
      <xdr:nvPicPr>
        <xdr:cNvPr id="3" name="Picture 2">
          <a:extLst>
            <a:ext uri="{FF2B5EF4-FFF2-40B4-BE49-F238E27FC236}">
              <a16:creationId xmlns:a16="http://schemas.microsoft.com/office/drawing/2014/main" id="{7DB887FD-4830-4D51-BC2F-6ACE058111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009650"/>
          <a:ext cx="6743700"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3</xdr:row>
      <xdr:rowOff>9525</xdr:rowOff>
    </xdr:from>
    <xdr:to>
      <xdr:col>5</xdr:col>
      <xdr:colOff>624417</xdr:colOff>
      <xdr:row>11</xdr:row>
      <xdr:rowOff>66675</xdr:rowOff>
    </xdr:to>
    <xdr:pic>
      <xdr:nvPicPr>
        <xdr:cNvPr id="4" name="Picture 3">
          <a:extLst>
            <a:ext uri="{FF2B5EF4-FFF2-40B4-BE49-F238E27FC236}">
              <a16:creationId xmlns:a16="http://schemas.microsoft.com/office/drawing/2014/main" id="{628A93AF-2012-42E4-B8A9-1E07135323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1009650"/>
          <a:ext cx="6739467" cy="3705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44414</xdr:colOff>
      <xdr:row>2</xdr:row>
      <xdr:rowOff>23166</xdr:rowOff>
    </xdr:from>
    <xdr:to>
      <xdr:col>3</xdr:col>
      <xdr:colOff>62166</xdr:colOff>
      <xdr:row>2</xdr:row>
      <xdr:rowOff>23166</xdr:rowOff>
    </xdr:to>
    <xdr:cxnSp macro="">
      <xdr:nvCxnSpPr>
        <xdr:cNvPr id="2" name="Straight Connector 1">
          <a:extLst>
            <a:ext uri="{FF2B5EF4-FFF2-40B4-BE49-F238E27FC236}">
              <a16:creationId xmlns:a16="http://schemas.microsoft.com/office/drawing/2014/main" id="{4F125AED-76A1-4D62-9A83-33F318D74424}"/>
            </a:ext>
          </a:extLst>
        </xdr:cNvPr>
        <xdr:cNvCxnSpPr/>
      </xdr:nvCxnSpPr>
      <xdr:spPr>
        <a:xfrm>
          <a:off x="625439" y="347016"/>
          <a:ext cx="83690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3B86-8E71-45DC-A6FA-B29566A0FCC0}">
  <sheetPr>
    <tabColor theme="7"/>
  </sheetPr>
  <dimension ref="A1:K14"/>
  <sheetViews>
    <sheetView topLeftCell="A19" workbookViewId="0">
      <selection activeCell="K6" sqref="K6"/>
    </sheetView>
  </sheetViews>
  <sheetFormatPr defaultColWidth="8.83984375" defaultRowHeight="15.3" x14ac:dyDescent="0.55000000000000004"/>
  <cols>
    <col min="1" max="1" width="10.26171875" style="3" customWidth="1"/>
    <col min="2" max="2" width="15.26171875" style="3" customWidth="1"/>
    <col min="3" max="3" width="14.41796875" style="2" customWidth="1"/>
    <col min="4" max="4" width="15.26171875" style="84" customWidth="1"/>
    <col min="5" max="5" width="14.41796875" style="56" customWidth="1"/>
    <col min="6" max="6" width="18.578125" style="56" customWidth="1"/>
    <col min="7" max="7" width="18" style="56" customWidth="1"/>
    <col min="8" max="9" width="18.41796875" style="56" customWidth="1"/>
    <col min="10" max="11" width="12.578125" style="56" customWidth="1"/>
    <col min="12" max="241" width="8.83984375" style="5"/>
    <col min="242" max="242" width="11.68359375" style="5" customWidth="1"/>
    <col min="243" max="243" width="8.578125" style="5" customWidth="1"/>
    <col min="244" max="244" width="4.68359375" style="5" customWidth="1"/>
    <col min="245" max="245" width="55.41796875" style="5" customWidth="1"/>
    <col min="246" max="246" width="9.26171875" style="5" customWidth="1"/>
    <col min="247" max="247" width="9.68359375" style="5" customWidth="1"/>
    <col min="248" max="16384" width="8.83984375" style="5"/>
  </cols>
  <sheetData>
    <row r="1" spans="1:9" x14ac:dyDescent="0.55000000000000004">
      <c r="A1" s="5" t="s">
        <v>98</v>
      </c>
      <c r="B1" s="5"/>
      <c r="D1" s="2"/>
      <c r="E1" s="3"/>
    </row>
    <row r="2" spans="1:9" x14ac:dyDescent="0.55000000000000004">
      <c r="A2" s="1" t="s">
        <v>99</v>
      </c>
      <c r="B2" s="1"/>
      <c r="D2" s="2"/>
      <c r="E2" s="3"/>
    </row>
    <row r="4" spans="1:9" ht="30" x14ac:dyDescent="0.55000000000000004">
      <c r="A4" s="337" t="s">
        <v>120</v>
      </c>
      <c r="B4" s="337"/>
      <c r="C4" s="337"/>
      <c r="D4" s="337"/>
      <c r="E4" s="337"/>
      <c r="F4" s="337"/>
      <c r="G4" s="337"/>
      <c r="H4" s="337"/>
      <c r="I4" s="337"/>
    </row>
    <row r="6" spans="1:9" ht="38.25" customHeight="1" x14ac:dyDescent="0.55000000000000004">
      <c r="A6" s="338" t="s">
        <v>121</v>
      </c>
      <c r="B6" s="339"/>
      <c r="C6" s="85" t="s">
        <v>122</v>
      </c>
      <c r="D6" s="86" t="s">
        <v>123</v>
      </c>
      <c r="E6" s="87" t="s">
        <v>6</v>
      </c>
      <c r="F6" s="88" t="s">
        <v>124</v>
      </c>
      <c r="G6" s="89" t="s">
        <v>12</v>
      </c>
      <c r="H6" s="90" t="s">
        <v>15</v>
      </c>
      <c r="I6" s="86" t="s">
        <v>18</v>
      </c>
    </row>
    <row r="7" spans="1:9" ht="61.5" customHeight="1" x14ac:dyDescent="0.55000000000000004">
      <c r="A7" s="340"/>
      <c r="B7" s="341"/>
      <c r="C7" s="91" t="s">
        <v>1</v>
      </c>
      <c r="D7" s="92" t="s">
        <v>4</v>
      </c>
      <c r="E7" s="92" t="s">
        <v>7</v>
      </c>
      <c r="F7" s="92" t="s">
        <v>10</v>
      </c>
      <c r="G7" s="92" t="s">
        <v>125</v>
      </c>
      <c r="H7" s="92" t="s">
        <v>126</v>
      </c>
      <c r="I7" s="92" t="s">
        <v>127</v>
      </c>
    </row>
    <row r="8" spans="1:9" ht="34.5" customHeight="1" x14ac:dyDescent="0.55000000000000004">
      <c r="A8" s="342" t="s">
        <v>128</v>
      </c>
      <c r="B8" s="343"/>
      <c r="C8" s="93">
        <v>200</v>
      </c>
      <c r="D8" s="93">
        <v>300</v>
      </c>
      <c r="E8" s="93">
        <v>400</v>
      </c>
      <c r="F8" s="93">
        <v>600</v>
      </c>
      <c r="G8" s="93">
        <v>800</v>
      </c>
      <c r="H8" s="93">
        <v>900</v>
      </c>
      <c r="I8" s="93">
        <v>1000</v>
      </c>
    </row>
    <row r="9" spans="1:9" ht="70.5" customHeight="1" x14ac:dyDescent="0.55000000000000004">
      <c r="A9" s="344" t="s">
        <v>129</v>
      </c>
      <c r="B9" s="345"/>
      <c r="C9" s="94" t="s">
        <v>130</v>
      </c>
      <c r="D9" s="94" t="s">
        <v>130</v>
      </c>
      <c r="E9" s="94" t="s">
        <v>130</v>
      </c>
      <c r="F9" s="95" t="s">
        <v>131</v>
      </c>
      <c r="G9" s="95" t="s">
        <v>132</v>
      </c>
      <c r="H9" s="95" t="s">
        <v>132</v>
      </c>
      <c r="I9" s="95" t="s">
        <v>132</v>
      </c>
    </row>
    <row r="10" spans="1:9" ht="30.6" x14ac:dyDescent="0.55000000000000004">
      <c r="A10" s="346" t="s">
        <v>133</v>
      </c>
      <c r="B10" s="96" t="s">
        <v>134</v>
      </c>
      <c r="C10" s="97" t="s">
        <v>135</v>
      </c>
      <c r="D10" s="98" t="s">
        <v>136</v>
      </c>
      <c r="E10" s="99" t="s">
        <v>137</v>
      </c>
      <c r="F10" s="99" t="s">
        <v>138</v>
      </c>
      <c r="G10" s="99" t="s">
        <v>138</v>
      </c>
      <c r="H10" s="99" t="s">
        <v>139</v>
      </c>
      <c r="I10" s="99" t="s">
        <v>139</v>
      </c>
    </row>
    <row r="11" spans="1:9" ht="27.6" x14ac:dyDescent="0.55000000000000004">
      <c r="A11" s="347"/>
      <c r="B11" s="100" t="s">
        <v>140</v>
      </c>
      <c r="C11" s="348" t="s">
        <v>141</v>
      </c>
      <c r="D11" s="349"/>
      <c r="E11" s="349"/>
      <c r="F11" s="349"/>
      <c r="G11" s="350"/>
      <c r="H11" s="99" t="s">
        <v>139</v>
      </c>
      <c r="I11" s="99" t="s">
        <v>139</v>
      </c>
    </row>
    <row r="12" spans="1:9" ht="153" x14ac:dyDescent="0.55000000000000004">
      <c r="A12" s="332" t="s">
        <v>142</v>
      </c>
      <c r="B12" s="333"/>
      <c r="C12" s="334" t="s">
        <v>141</v>
      </c>
      <c r="D12" s="334"/>
      <c r="E12" s="334"/>
      <c r="F12" s="101" t="s">
        <v>143</v>
      </c>
      <c r="G12" s="101" t="s">
        <v>144</v>
      </c>
      <c r="H12" s="101" t="s">
        <v>145</v>
      </c>
      <c r="I12" s="102" t="s">
        <v>146</v>
      </c>
    </row>
    <row r="13" spans="1:9" ht="18.3" x14ac:dyDescent="0.55000000000000004">
      <c r="A13" s="332" t="s">
        <v>147</v>
      </c>
      <c r="B13" s="333"/>
      <c r="C13" s="335"/>
      <c r="D13" s="336"/>
      <c r="E13" s="103" t="s">
        <v>148</v>
      </c>
      <c r="F13" s="103" t="s">
        <v>148</v>
      </c>
      <c r="G13" s="103" t="s">
        <v>148</v>
      </c>
      <c r="H13" s="103" t="s">
        <v>148</v>
      </c>
      <c r="I13" s="103" t="s">
        <v>148</v>
      </c>
    </row>
    <row r="14" spans="1:9" x14ac:dyDescent="0.55000000000000004">
      <c r="A14" s="104" t="s">
        <v>149</v>
      </c>
      <c r="B14" s="104"/>
      <c r="C14" s="105"/>
      <c r="F14" s="56" t="s">
        <v>141</v>
      </c>
    </row>
  </sheetData>
  <mergeCells count="10">
    <mergeCell ref="A12:B12"/>
    <mergeCell ref="C12:E12"/>
    <mergeCell ref="A13:B13"/>
    <mergeCell ref="C13:D13"/>
    <mergeCell ref="A4:I4"/>
    <mergeCell ref="A6:B7"/>
    <mergeCell ref="A8:B8"/>
    <mergeCell ref="A9:B9"/>
    <mergeCell ref="A10:A11"/>
    <mergeCell ref="C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pageSetUpPr fitToPage="1"/>
  </sheetPr>
  <dimension ref="A1:N129"/>
  <sheetViews>
    <sheetView topLeftCell="A37" zoomScaleNormal="100" workbookViewId="0">
      <selection activeCell="J7" sqref="J7"/>
    </sheetView>
  </sheetViews>
  <sheetFormatPr defaultColWidth="8.83984375" defaultRowHeight="15.3" x14ac:dyDescent="0.55000000000000004"/>
  <cols>
    <col min="1" max="1" width="10.41796875" style="1" customWidth="1"/>
    <col min="2" max="2" width="10.68359375" style="2" customWidth="1"/>
    <col min="3" max="3" width="4.68359375" style="3" customWidth="1"/>
    <col min="4" max="4" width="57.26171875" style="3" customWidth="1"/>
    <col min="5" max="5" width="8.68359375" style="2" customWidth="1"/>
    <col min="6" max="6" width="15.578125" style="4" customWidth="1"/>
    <col min="7" max="16384" width="8.83984375" style="5"/>
  </cols>
  <sheetData>
    <row r="1" spans="1:14" ht="9.6" customHeight="1" x14ac:dyDescent="0.55000000000000004"/>
    <row r="2" spans="1:14" ht="62.1" customHeight="1" x14ac:dyDescent="0.55000000000000004">
      <c r="A2" s="391" t="s">
        <v>284</v>
      </c>
      <c r="B2" s="392"/>
      <c r="C2" s="392"/>
      <c r="D2" s="392"/>
      <c r="E2" s="392"/>
      <c r="F2" s="392"/>
    </row>
    <row r="3" spans="1:14" ht="8.25" customHeight="1" x14ac:dyDescent="0.55000000000000004">
      <c r="A3" s="6"/>
      <c r="B3" s="7"/>
      <c r="C3" s="226"/>
      <c r="D3" s="7"/>
      <c r="E3" s="7"/>
      <c r="F3" s="7"/>
    </row>
    <row r="4" spans="1:14" ht="14.25" customHeight="1" x14ac:dyDescent="0.55000000000000004">
      <c r="A4" s="6"/>
      <c r="B4" s="7"/>
      <c r="C4" s="226"/>
      <c r="D4" s="7"/>
      <c r="E4" s="7"/>
      <c r="F4" s="7"/>
    </row>
    <row r="5" spans="1:14" ht="14.1" customHeight="1" x14ac:dyDescent="0.55000000000000004">
      <c r="A5" s="6"/>
      <c r="B5" s="7"/>
      <c r="C5" s="226"/>
      <c r="D5" s="7"/>
      <c r="E5" s="7"/>
      <c r="F5" s="7"/>
    </row>
    <row r="6" spans="1:14" ht="59.25" customHeight="1" x14ac:dyDescent="0.55000000000000004">
      <c r="A6" s="6"/>
      <c r="B6" s="7"/>
      <c r="C6" s="226"/>
      <c r="D6" s="7"/>
      <c r="E6" s="7"/>
      <c r="F6" s="7"/>
    </row>
    <row r="7" spans="1:14" ht="55.15" customHeight="1" x14ac:dyDescent="0.55000000000000004">
      <c r="A7" s="6"/>
      <c r="B7" s="7"/>
      <c r="C7" s="226"/>
      <c r="D7" s="7"/>
      <c r="E7" s="7"/>
      <c r="F7" s="7"/>
    </row>
    <row r="8" spans="1:14" ht="55.15" customHeight="1" x14ac:dyDescent="0.55000000000000004">
      <c r="A8" s="6"/>
      <c r="B8" s="7"/>
      <c r="C8" s="226"/>
      <c r="D8" s="7"/>
      <c r="E8" s="7"/>
      <c r="F8" s="7"/>
    </row>
    <row r="9" spans="1:14" ht="55.15" customHeight="1" x14ac:dyDescent="0.55000000000000004">
      <c r="A9" s="6"/>
      <c r="B9" s="7"/>
      <c r="C9" s="226"/>
      <c r="D9" s="7"/>
      <c r="E9" s="7"/>
      <c r="F9" s="7"/>
    </row>
    <row r="10" spans="1:14" ht="22.8" x14ac:dyDescent="0.55000000000000004">
      <c r="A10" s="6"/>
      <c r="B10" s="7"/>
      <c r="C10" s="226"/>
      <c r="D10" s="7"/>
      <c r="E10" s="7"/>
      <c r="F10" s="7"/>
    </row>
    <row r="11" spans="1:14" ht="13.5" customHeight="1" x14ac:dyDescent="0.55000000000000004">
      <c r="A11" s="6"/>
      <c r="B11" s="7"/>
      <c r="C11" s="226"/>
      <c r="D11" s="7"/>
      <c r="E11" s="7"/>
      <c r="F11" s="7"/>
    </row>
    <row r="12" spans="1:14" ht="16" customHeight="1" x14ac:dyDescent="0.55000000000000004">
      <c r="A12" s="6"/>
      <c r="B12" s="7"/>
      <c r="C12" s="226"/>
      <c r="D12" s="7"/>
      <c r="E12" s="7"/>
      <c r="F12" s="7"/>
    </row>
    <row r="13" spans="1:14" ht="50.1" customHeight="1" x14ac:dyDescent="0.55000000000000004">
      <c r="A13" s="8" t="s">
        <v>0</v>
      </c>
      <c r="B13" s="9" t="s">
        <v>1</v>
      </c>
      <c r="C13" s="388" t="s">
        <v>2</v>
      </c>
      <c r="D13" s="389"/>
      <c r="E13" s="389"/>
      <c r="F13" s="390"/>
      <c r="H13" s="11"/>
      <c r="I13" s="11"/>
      <c r="J13" s="11"/>
      <c r="K13" s="11"/>
      <c r="L13" s="11"/>
      <c r="M13" s="11"/>
      <c r="N13" s="11"/>
    </row>
    <row r="14" spans="1:14" ht="58.5" customHeight="1" x14ac:dyDescent="0.55000000000000004">
      <c r="A14" s="8" t="s">
        <v>3</v>
      </c>
      <c r="B14" s="10" t="s">
        <v>4</v>
      </c>
      <c r="C14" s="388" t="s">
        <v>5</v>
      </c>
      <c r="D14" s="389"/>
      <c r="E14" s="389"/>
      <c r="F14" s="390"/>
      <c r="H14" s="11"/>
      <c r="I14" s="11"/>
      <c r="J14" s="11"/>
      <c r="K14" s="11"/>
      <c r="L14" s="11"/>
      <c r="M14" s="11"/>
      <c r="N14" s="11"/>
    </row>
    <row r="15" spans="1:14" ht="70" customHeight="1" x14ac:dyDescent="0.55000000000000004">
      <c r="A15" s="8" t="s">
        <v>6</v>
      </c>
      <c r="B15" s="9" t="s">
        <v>7</v>
      </c>
      <c r="C15" s="388" t="s">
        <v>8</v>
      </c>
      <c r="D15" s="389"/>
      <c r="E15" s="389"/>
      <c r="F15" s="390"/>
      <c r="H15" s="11"/>
      <c r="I15" s="11"/>
      <c r="J15" s="11"/>
      <c r="K15" s="11"/>
      <c r="L15" s="11"/>
      <c r="M15" s="11"/>
      <c r="N15" s="11"/>
    </row>
    <row r="16" spans="1:14" ht="60" customHeight="1" x14ac:dyDescent="0.55000000000000004">
      <c r="A16" s="8" t="s">
        <v>9</v>
      </c>
      <c r="B16" s="9" t="s">
        <v>10</v>
      </c>
      <c r="C16" s="388" t="s">
        <v>11</v>
      </c>
      <c r="D16" s="389"/>
      <c r="E16" s="389"/>
      <c r="F16" s="390"/>
      <c r="H16" s="11"/>
      <c r="I16" s="11"/>
      <c r="J16" s="11"/>
      <c r="K16" s="11"/>
      <c r="L16" s="11"/>
      <c r="M16" s="11"/>
      <c r="N16" s="11"/>
    </row>
    <row r="17" spans="1:14" ht="60" customHeight="1" x14ac:dyDescent="0.55000000000000004">
      <c r="A17" s="8" t="s">
        <v>12</v>
      </c>
      <c r="B17" s="10" t="s">
        <v>13</v>
      </c>
      <c r="C17" s="388" t="s">
        <v>14</v>
      </c>
      <c r="D17" s="389"/>
      <c r="E17" s="389"/>
      <c r="F17" s="390"/>
      <c r="H17" s="11"/>
      <c r="I17" s="11"/>
      <c r="J17" s="11"/>
      <c r="K17" s="11"/>
      <c r="L17" s="11"/>
      <c r="M17" s="11"/>
      <c r="N17" s="11"/>
    </row>
    <row r="18" spans="1:14" ht="50.1" customHeight="1" x14ac:dyDescent="0.55000000000000004">
      <c r="A18" s="8" t="s">
        <v>15</v>
      </c>
      <c r="B18" s="10" t="s">
        <v>16</v>
      </c>
      <c r="C18" s="397" t="s">
        <v>17</v>
      </c>
      <c r="D18" s="398"/>
      <c r="E18" s="398"/>
      <c r="F18" s="399"/>
      <c r="H18" s="11"/>
      <c r="I18" s="11"/>
      <c r="J18" s="11"/>
      <c r="K18" s="11"/>
      <c r="L18" s="11"/>
      <c r="M18" s="11"/>
      <c r="N18" s="11"/>
    </row>
    <row r="19" spans="1:14" ht="50.1" customHeight="1" x14ac:dyDescent="0.55000000000000004">
      <c r="A19" s="8" t="s">
        <v>18</v>
      </c>
      <c r="B19" s="10" t="s">
        <v>19</v>
      </c>
      <c r="C19" s="400"/>
      <c r="D19" s="401"/>
      <c r="E19" s="401"/>
      <c r="F19" s="402"/>
      <c r="H19" s="11"/>
      <c r="I19" s="11"/>
      <c r="J19" s="11"/>
      <c r="K19" s="11"/>
      <c r="L19" s="11"/>
      <c r="M19" s="11"/>
      <c r="N19" s="11"/>
    </row>
    <row r="20" spans="1:14" ht="13.5" customHeight="1" x14ac:dyDescent="0.55000000000000004">
      <c r="A20" s="12"/>
      <c r="B20" s="13"/>
      <c r="C20" s="227"/>
      <c r="D20" s="13"/>
      <c r="E20" s="13"/>
      <c r="F20" s="13"/>
    </row>
    <row r="21" spans="1:14" s="15" customFormat="1" ht="30" customHeight="1" x14ac:dyDescent="0.55000000000000004">
      <c r="A21" s="403" t="s">
        <v>20</v>
      </c>
      <c r="B21" s="405" t="s">
        <v>21</v>
      </c>
      <c r="C21" s="406"/>
      <c r="D21" s="406"/>
      <c r="E21" s="406"/>
      <c r="F21" s="14" t="s">
        <v>22</v>
      </c>
    </row>
    <row r="22" spans="1:14" s="15" customFormat="1" ht="30" customHeight="1" x14ac:dyDescent="0.55000000000000004">
      <c r="A22" s="404"/>
      <c r="B22" s="407"/>
      <c r="C22" s="408"/>
      <c r="D22" s="408"/>
      <c r="E22" s="408"/>
      <c r="F22" s="16">
        <v>180</v>
      </c>
    </row>
    <row r="23" spans="1:14" s="19" customFormat="1" ht="30" customHeight="1" x14ac:dyDescent="0.55000000000000004">
      <c r="A23" s="393" t="s">
        <v>23</v>
      </c>
      <c r="B23" s="394" t="s">
        <v>24</v>
      </c>
      <c r="C23" s="353">
        <v>1</v>
      </c>
      <c r="D23" s="17" t="s">
        <v>266</v>
      </c>
      <c r="E23" s="409" t="s">
        <v>25</v>
      </c>
      <c r="F23" s="18">
        <v>20</v>
      </c>
    </row>
    <row r="24" spans="1:14" s="19" customFormat="1" ht="30" customHeight="1" x14ac:dyDescent="0.55000000000000004">
      <c r="A24" s="393"/>
      <c r="B24" s="395"/>
      <c r="C24" s="354"/>
      <c r="D24" s="20" t="s">
        <v>267</v>
      </c>
      <c r="E24" s="410"/>
      <c r="F24" s="21">
        <v>70</v>
      </c>
    </row>
    <row r="25" spans="1:14" s="19" customFormat="1" ht="30" customHeight="1" x14ac:dyDescent="0.55000000000000004">
      <c r="A25" s="393"/>
      <c r="B25" s="411" t="s">
        <v>24</v>
      </c>
      <c r="C25" s="413">
        <v>2</v>
      </c>
      <c r="D25" s="20" t="s">
        <v>26</v>
      </c>
      <c r="E25" s="415" t="s">
        <v>25</v>
      </c>
      <c r="F25" s="21">
        <v>25</v>
      </c>
    </row>
    <row r="26" spans="1:14" s="19" customFormat="1" ht="30" customHeight="1" x14ac:dyDescent="0.55000000000000004">
      <c r="A26" s="393"/>
      <c r="B26" s="412"/>
      <c r="C26" s="414"/>
      <c r="D26" s="22" t="s">
        <v>27</v>
      </c>
      <c r="E26" s="416"/>
      <c r="F26" s="23">
        <v>40</v>
      </c>
    </row>
    <row r="27" spans="1:14" s="19" customFormat="1" ht="30" customHeight="1" x14ac:dyDescent="0.55000000000000004">
      <c r="A27" s="393" t="s">
        <v>28</v>
      </c>
      <c r="B27" s="24" t="s">
        <v>24</v>
      </c>
      <c r="C27" s="25">
        <v>3</v>
      </c>
      <c r="D27" s="17" t="s">
        <v>29</v>
      </c>
      <c r="E27" s="26"/>
      <c r="F27" s="18">
        <v>5</v>
      </c>
    </row>
    <row r="28" spans="1:14" s="19" customFormat="1" ht="30" customHeight="1" x14ac:dyDescent="0.55000000000000004">
      <c r="A28" s="425"/>
      <c r="B28" s="27" t="s">
        <v>24</v>
      </c>
      <c r="C28" s="28">
        <v>4</v>
      </c>
      <c r="D28" s="22" t="s">
        <v>30</v>
      </c>
      <c r="E28" s="29"/>
      <c r="F28" s="23">
        <v>10</v>
      </c>
    </row>
    <row r="29" spans="1:14" s="19" customFormat="1" ht="30" customHeight="1" x14ac:dyDescent="0.55000000000000004">
      <c r="A29" s="393" t="s">
        <v>31</v>
      </c>
      <c r="B29" s="394" t="s">
        <v>24</v>
      </c>
      <c r="C29" s="353">
        <v>5</v>
      </c>
      <c r="D29" s="17" t="s">
        <v>32</v>
      </c>
      <c r="E29" s="417" t="s">
        <v>25</v>
      </c>
      <c r="F29" s="18">
        <v>5</v>
      </c>
    </row>
    <row r="30" spans="1:14" s="19" customFormat="1" ht="30" customHeight="1" x14ac:dyDescent="0.55000000000000004">
      <c r="A30" s="393"/>
      <c r="B30" s="395"/>
      <c r="C30" s="354"/>
      <c r="D30" s="20" t="s">
        <v>33</v>
      </c>
      <c r="E30" s="415"/>
      <c r="F30" s="30">
        <v>10</v>
      </c>
    </row>
    <row r="31" spans="1:14" s="19" customFormat="1" ht="30" customHeight="1" x14ac:dyDescent="0.55000000000000004">
      <c r="A31" s="393"/>
      <c r="B31" s="396"/>
      <c r="C31" s="355"/>
      <c r="D31" s="22" t="s">
        <v>34</v>
      </c>
      <c r="E31" s="416"/>
      <c r="F31" s="23">
        <v>15</v>
      </c>
    </row>
    <row r="32" spans="1:14" s="199" customFormat="1" ht="38.1" customHeight="1" x14ac:dyDescent="0.55000000000000004">
      <c r="A32" s="419" t="s">
        <v>35</v>
      </c>
      <c r="B32" s="420" t="s">
        <v>24</v>
      </c>
      <c r="C32" s="422">
        <v>6</v>
      </c>
      <c r="D32" s="17" t="s">
        <v>268</v>
      </c>
      <c r="E32" s="409" t="s">
        <v>25</v>
      </c>
      <c r="F32" s="18">
        <v>5</v>
      </c>
    </row>
    <row r="33" spans="1:14" s="199" customFormat="1" ht="38.1" customHeight="1" x14ac:dyDescent="0.55000000000000004">
      <c r="A33" s="419"/>
      <c r="B33" s="421"/>
      <c r="C33" s="423"/>
      <c r="D33" s="22" t="s">
        <v>269</v>
      </c>
      <c r="E33" s="424"/>
      <c r="F33" s="23">
        <v>10</v>
      </c>
    </row>
    <row r="34" spans="1:14" s="32" customFormat="1" ht="25" customHeight="1" x14ac:dyDescent="0.55000000000000004">
      <c r="A34" s="31" t="s">
        <v>36</v>
      </c>
      <c r="C34" s="228"/>
      <c r="I34" s="33"/>
      <c r="J34" s="34"/>
      <c r="K34" s="34"/>
      <c r="L34" s="34"/>
      <c r="M34" s="34"/>
      <c r="N34" s="34"/>
    </row>
    <row r="35" spans="1:14" s="19" customFormat="1" x14ac:dyDescent="0.55000000000000004">
      <c r="A35" s="35" t="s">
        <v>37</v>
      </c>
      <c r="B35" s="36"/>
      <c r="C35" s="40"/>
      <c r="D35" s="36"/>
      <c r="I35" s="37"/>
      <c r="J35" s="37"/>
      <c r="K35" s="37"/>
      <c r="L35" s="37"/>
      <c r="M35" s="37"/>
      <c r="N35" s="37"/>
    </row>
    <row r="36" spans="1:14" s="19" customFormat="1" x14ac:dyDescent="0.55000000000000004">
      <c r="A36" s="38" t="s">
        <v>38</v>
      </c>
      <c r="B36" s="36"/>
      <c r="C36" s="40"/>
      <c r="E36" s="39"/>
      <c r="I36" s="37"/>
      <c r="J36" s="37"/>
      <c r="K36" s="37"/>
      <c r="L36" s="37"/>
      <c r="M36" s="37"/>
      <c r="N36" s="37"/>
    </row>
    <row r="37" spans="1:14" s="19" customFormat="1" x14ac:dyDescent="0.55000000000000004">
      <c r="A37" s="35" t="s">
        <v>39</v>
      </c>
      <c r="B37" s="36"/>
      <c r="C37" s="40"/>
      <c r="D37" s="40"/>
      <c r="I37" s="37"/>
      <c r="J37" s="37"/>
      <c r="K37" s="37"/>
      <c r="L37" s="37"/>
      <c r="M37" s="37"/>
      <c r="N37" s="37"/>
    </row>
    <row r="38" spans="1:14" s="19" customFormat="1" x14ac:dyDescent="0.55000000000000004">
      <c r="A38" s="41" t="s">
        <v>40</v>
      </c>
      <c r="B38" s="41"/>
      <c r="C38" s="229"/>
      <c r="D38" s="42"/>
      <c r="E38" s="39"/>
      <c r="I38" s="37"/>
      <c r="J38" s="37"/>
      <c r="K38" s="37"/>
      <c r="L38" s="37"/>
      <c r="M38" s="37"/>
      <c r="N38" s="37"/>
    </row>
    <row r="39" spans="1:14" s="19" customFormat="1" x14ac:dyDescent="0.55000000000000004">
      <c r="A39" s="41" t="s">
        <v>41</v>
      </c>
      <c r="B39" s="36"/>
      <c r="C39" s="40"/>
      <c r="D39" s="42"/>
      <c r="E39" s="39"/>
      <c r="I39" s="37"/>
      <c r="J39" s="37"/>
      <c r="K39" s="37"/>
      <c r="L39" s="37"/>
      <c r="M39" s="37"/>
      <c r="N39" s="37"/>
    </row>
    <row r="40" spans="1:14" s="19" customFormat="1" x14ac:dyDescent="0.55000000000000004">
      <c r="A40" s="418" t="s">
        <v>42</v>
      </c>
      <c r="B40" s="418"/>
      <c r="C40" s="418"/>
      <c r="D40" s="418"/>
      <c r="E40" s="418"/>
      <c r="F40" s="418"/>
    </row>
    <row r="41" spans="1:14" ht="30" customHeight="1" x14ac:dyDescent="0.55000000000000004">
      <c r="A41" s="426" t="s">
        <v>43</v>
      </c>
      <c r="B41" s="428" t="s">
        <v>44</v>
      </c>
      <c r="C41" s="429"/>
      <c r="D41" s="429"/>
      <c r="E41" s="43"/>
      <c r="F41" s="44" t="s">
        <v>22</v>
      </c>
    </row>
    <row r="42" spans="1:14" ht="30" customHeight="1" x14ac:dyDescent="0.55000000000000004">
      <c r="A42" s="427"/>
      <c r="B42" s="430"/>
      <c r="C42" s="431"/>
      <c r="D42" s="431"/>
      <c r="E42" s="45"/>
      <c r="F42" s="46">
        <v>450</v>
      </c>
    </row>
    <row r="43" spans="1:14" ht="30" customHeight="1" x14ac:dyDescent="0.55000000000000004">
      <c r="A43" s="376" t="s">
        <v>45</v>
      </c>
      <c r="B43" s="47" t="s">
        <v>24</v>
      </c>
      <c r="C43" s="25">
        <v>7</v>
      </c>
      <c r="D43" s="17" t="s">
        <v>106</v>
      </c>
      <c r="E43" s="47"/>
      <c r="F43" s="18">
        <v>5</v>
      </c>
      <c r="G43" s="200"/>
    </row>
    <row r="44" spans="1:14" ht="38.1" customHeight="1" x14ac:dyDescent="0.55000000000000004">
      <c r="A44" s="377"/>
      <c r="B44" s="49" t="s">
        <v>24</v>
      </c>
      <c r="C44" s="50">
        <v>8</v>
      </c>
      <c r="D44" s="20" t="s">
        <v>46</v>
      </c>
      <c r="E44" s="49"/>
      <c r="F44" s="30">
        <v>5</v>
      </c>
    </row>
    <row r="45" spans="1:14" ht="30" customHeight="1" x14ac:dyDescent="0.55000000000000004">
      <c r="A45" s="379"/>
      <c r="B45" s="51" t="s">
        <v>24</v>
      </c>
      <c r="C45" s="28">
        <v>9</v>
      </c>
      <c r="D45" s="22" t="s">
        <v>107</v>
      </c>
      <c r="E45" s="51"/>
      <c r="F45" s="23">
        <v>5</v>
      </c>
    </row>
    <row r="46" spans="1:14" ht="38.1" customHeight="1" x14ac:dyDescent="0.55000000000000004">
      <c r="A46" s="376" t="s">
        <v>47</v>
      </c>
      <c r="B46" s="47" t="s">
        <v>24</v>
      </c>
      <c r="C46" s="25">
        <v>10</v>
      </c>
      <c r="D46" s="17" t="s">
        <v>285</v>
      </c>
      <c r="E46" s="47"/>
      <c r="F46" s="18">
        <v>5</v>
      </c>
    </row>
    <row r="47" spans="1:14" ht="50.1" customHeight="1" x14ac:dyDescent="0.55000000000000004">
      <c r="A47" s="377"/>
      <c r="B47" s="49" t="s">
        <v>24</v>
      </c>
      <c r="C47" s="50">
        <v>11</v>
      </c>
      <c r="D47" s="53" t="s">
        <v>270</v>
      </c>
      <c r="E47" s="49"/>
      <c r="F47" s="30">
        <v>5</v>
      </c>
    </row>
    <row r="48" spans="1:14" ht="50.1" customHeight="1" x14ac:dyDescent="0.55000000000000004">
      <c r="A48" s="379"/>
      <c r="B48" s="51" t="s">
        <v>24</v>
      </c>
      <c r="C48" s="28">
        <v>12</v>
      </c>
      <c r="D48" s="22" t="s">
        <v>48</v>
      </c>
      <c r="E48" s="51"/>
      <c r="F48" s="23">
        <v>5</v>
      </c>
    </row>
    <row r="49" spans="1:6" ht="38.1" customHeight="1" x14ac:dyDescent="0.55000000000000004">
      <c r="A49" s="432" t="s">
        <v>286</v>
      </c>
      <c r="B49" s="47" t="s">
        <v>24</v>
      </c>
      <c r="C49" s="201">
        <v>13</v>
      </c>
      <c r="D49" s="17" t="s">
        <v>287</v>
      </c>
      <c r="E49" s="202"/>
      <c r="F49" s="18">
        <v>10</v>
      </c>
    </row>
    <row r="50" spans="1:6" ht="38.1" customHeight="1" x14ac:dyDescent="0.55000000000000004">
      <c r="A50" s="433"/>
      <c r="B50" s="49" t="s">
        <v>24</v>
      </c>
      <c r="C50" s="50">
        <v>14</v>
      </c>
      <c r="D50" s="73" t="s">
        <v>288</v>
      </c>
      <c r="E50" s="52"/>
      <c r="F50" s="30">
        <v>15</v>
      </c>
    </row>
    <row r="51" spans="1:6" ht="46.5" customHeight="1" x14ac:dyDescent="0.55000000000000004">
      <c r="A51" s="433"/>
      <c r="B51" s="49" t="s">
        <v>24</v>
      </c>
      <c r="C51" s="50">
        <v>15</v>
      </c>
      <c r="D51" s="20" t="s">
        <v>289</v>
      </c>
      <c r="E51" s="52"/>
      <c r="F51" s="30">
        <v>20</v>
      </c>
    </row>
    <row r="52" spans="1:6" s="56" customFormat="1" ht="35.25" customHeight="1" x14ac:dyDescent="0.55000000000000004">
      <c r="A52" s="433"/>
      <c r="B52" s="54" t="s">
        <v>24</v>
      </c>
      <c r="C52" s="55">
        <v>16</v>
      </c>
      <c r="D52" s="20" t="s">
        <v>290</v>
      </c>
      <c r="E52" s="54"/>
      <c r="F52" s="67">
        <v>25</v>
      </c>
    </row>
    <row r="53" spans="1:6" ht="38.1" customHeight="1" x14ac:dyDescent="0.55000000000000004">
      <c r="A53" s="434"/>
      <c r="B53" s="51" t="s">
        <v>24</v>
      </c>
      <c r="C53" s="28">
        <v>17</v>
      </c>
      <c r="D53" s="22" t="s">
        <v>291</v>
      </c>
      <c r="E53" s="57"/>
      <c r="F53" s="23">
        <v>40</v>
      </c>
    </row>
    <row r="54" spans="1:6" ht="45" customHeight="1" x14ac:dyDescent="0.55000000000000004">
      <c r="A54" s="432" t="s">
        <v>292</v>
      </c>
      <c r="B54" s="380" t="s">
        <v>24</v>
      </c>
      <c r="C54" s="439">
        <v>18</v>
      </c>
      <c r="D54" s="17" t="s">
        <v>293</v>
      </c>
      <c r="E54" s="440" t="s">
        <v>49</v>
      </c>
      <c r="F54" s="18">
        <v>10</v>
      </c>
    </row>
    <row r="55" spans="1:6" ht="41.25" customHeight="1" x14ac:dyDescent="0.55000000000000004">
      <c r="A55" s="433"/>
      <c r="B55" s="381"/>
      <c r="C55" s="413"/>
      <c r="D55" s="20" t="s">
        <v>294</v>
      </c>
      <c r="E55" s="441"/>
      <c r="F55" s="30">
        <v>20</v>
      </c>
    </row>
    <row r="56" spans="1:6" ht="48.75" customHeight="1" x14ac:dyDescent="0.55000000000000004">
      <c r="A56" s="438"/>
      <c r="B56" s="382"/>
      <c r="C56" s="386"/>
      <c r="D56" s="79" t="s">
        <v>295</v>
      </c>
      <c r="E56" s="362"/>
      <c r="F56" s="78">
        <v>30</v>
      </c>
    </row>
    <row r="57" spans="1:6" ht="44.25" customHeight="1" x14ac:dyDescent="0.55000000000000004">
      <c r="A57" s="434"/>
      <c r="B57" s="383"/>
      <c r="C57" s="387"/>
      <c r="D57" s="22" t="s">
        <v>296</v>
      </c>
      <c r="E57" s="363"/>
      <c r="F57" s="23">
        <v>50</v>
      </c>
    </row>
    <row r="58" spans="1:6" ht="30" customHeight="1" x14ac:dyDescent="0.55000000000000004">
      <c r="A58" s="364" t="s">
        <v>297</v>
      </c>
      <c r="B58" s="442" t="s">
        <v>271</v>
      </c>
      <c r="C58" s="353">
        <v>19</v>
      </c>
      <c r="D58" s="17" t="s">
        <v>298</v>
      </c>
      <c r="E58" s="435" t="s">
        <v>49</v>
      </c>
      <c r="F58" s="18">
        <v>40</v>
      </c>
    </row>
    <row r="59" spans="1:6" ht="30" customHeight="1" x14ac:dyDescent="0.55000000000000004">
      <c r="A59" s="365"/>
      <c r="B59" s="443"/>
      <c r="C59" s="354"/>
      <c r="D59" s="20" t="s">
        <v>299</v>
      </c>
      <c r="E59" s="436"/>
      <c r="F59" s="30">
        <v>50</v>
      </c>
    </row>
    <row r="60" spans="1:6" ht="35.25" customHeight="1" x14ac:dyDescent="0.55000000000000004">
      <c r="A60" s="365"/>
      <c r="B60" s="443"/>
      <c r="C60" s="354"/>
      <c r="D60" s="79" t="s">
        <v>300</v>
      </c>
      <c r="E60" s="436"/>
      <c r="F60" s="78">
        <v>60</v>
      </c>
    </row>
    <row r="61" spans="1:6" ht="36.75" customHeight="1" x14ac:dyDescent="0.55000000000000004">
      <c r="A61" s="365"/>
      <c r="B61" s="443"/>
      <c r="C61" s="354"/>
      <c r="D61" s="79" t="s">
        <v>301</v>
      </c>
      <c r="E61" s="436"/>
      <c r="F61" s="78">
        <v>70</v>
      </c>
    </row>
    <row r="62" spans="1:6" ht="41.25" customHeight="1" x14ac:dyDescent="0.55000000000000004">
      <c r="A62" s="366"/>
      <c r="B62" s="444"/>
      <c r="C62" s="355"/>
      <c r="D62" s="79" t="s">
        <v>302</v>
      </c>
      <c r="E62" s="437"/>
      <c r="F62" s="78">
        <v>80</v>
      </c>
    </row>
    <row r="63" spans="1:6" ht="38.1" customHeight="1" x14ac:dyDescent="0.55000000000000004">
      <c r="A63" s="432" t="s">
        <v>303</v>
      </c>
      <c r="B63" s="380" t="s">
        <v>24</v>
      </c>
      <c r="C63" s="384">
        <v>20</v>
      </c>
      <c r="D63" s="17" t="s">
        <v>304</v>
      </c>
      <c r="E63" s="435" t="s">
        <v>49</v>
      </c>
      <c r="F63" s="18">
        <v>20</v>
      </c>
    </row>
    <row r="64" spans="1:6" ht="38.1" customHeight="1" x14ac:dyDescent="0.55000000000000004">
      <c r="A64" s="433"/>
      <c r="B64" s="381"/>
      <c r="C64" s="385"/>
      <c r="D64" s="20" t="s">
        <v>305</v>
      </c>
      <c r="E64" s="436"/>
      <c r="F64" s="30">
        <v>30</v>
      </c>
    </row>
    <row r="65" spans="1:6" ht="38.1" customHeight="1" x14ac:dyDescent="0.55000000000000004">
      <c r="A65" s="434"/>
      <c r="B65" s="383"/>
      <c r="C65" s="387"/>
      <c r="D65" s="22" t="s">
        <v>306</v>
      </c>
      <c r="E65" s="437"/>
      <c r="F65" s="23">
        <v>50</v>
      </c>
    </row>
    <row r="66" spans="1:6" ht="38.1" customHeight="1" x14ac:dyDescent="0.55000000000000004">
      <c r="A66" s="376" t="s">
        <v>307</v>
      </c>
      <c r="B66" s="380" t="s">
        <v>24</v>
      </c>
      <c r="C66" s="384">
        <v>21</v>
      </c>
      <c r="D66" s="17" t="s">
        <v>308</v>
      </c>
      <c r="E66" s="360" t="s">
        <v>49</v>
      </c>
      <c r="F66" s="18">
        <v>20</v>
      </c>
    </row>
    <row r="67" spans="1:6" ht="38.1" customHeight="1" x14ac:dyDescent="0.55000000000000004">
      <c r="A67" s="377"/>
      <c r="B67" s="381"/>
      <c r="C67" s="385"/>
      <c r="D67" s="20" t="s">
        <v>309</v>
      </c>
      <c r="E67" s="361"/>
      <c r="F67" s="30">
        <v>40</v>
      </c>
    </row>
    <row r="68" spans="1:6" ht="38.1" customHeight="1" x14ac:dyDescent="0.55000000000000004">
      <c r="A68" s="378"/>
      <c r="B68" s="382"/>
      <c r="C68" s="386"/>
      <c r="D68" s="79" t="s">
        <v>310</v>
      </c>
      <c r="E68" s="362"/>
      <c r="F68" s="78">
        <v>60</v>
      </c>
    </row>
    <row r="69" spans="1:6" ht="38.1" customHeight="1" x14ac:dyDescent="0.55000000000000004">
      <c r="A69" s="379"/>
      <c r="B69" s="383"/>
      <c r="C69" s="387"/>
      <c r="D69" s="22" t="s">
        <v>311</v>
      </c>
      <c r="E69" s="363"/>
      <c r="F69" s="23">
        <v>80</v>
      </c>
    </row>
    <row r="70" spans="1:6" ht="50.1" customHeight="1" x14ac:dyDescent="0.55000000000000004">
      <c r="A70" s="364" t="s">
        <v>312</v>
      </c>
      <c r="B70" s="47" t="s">
        <v>24</v>
      </c>
      <c r="C70" s="201">
        <v>22</v>
      </c>
      <c r="D70" s="48" t="s">
        <v>313</v>
      </c>
      <c r="E70" s="205"/>
      <c r="F70" s="18">
        <v>15</v>
      </c>
    </row>
    <row r="71" spans="1:6" ht="51" customHeight="1" x14ac:dyDescent="0.55000000000000004">
      <c r="A71" s="365"/>
      <c r="B71" s="49" t="s">
        <v>314</v>
      </c>
      <c r="C71" s="204">
        <v>23</v>
      </c>
      <c r="D71" s="20" t="s">
        <v>315</v>
      </c>
      <c r="E71" s="206"/>
      <c r="F71" s="30">
        <v>10</v>
      </c>
    </row>
    <row r="72" spans="1:6" ht="42" customHeight="1" x14ac:dyDescent="0.55000000000000004">
      <c r="A72" s="365"/>
      <c r="B72" s="77" t="s">
        <v>314</v>
      </c>
      <c r="C72" s="209">
        <v>24</v>
      </c>
      <c r="D72" s="79" t="s">
        <v>316</v>
      </c>
      <c r="E72" s="208"/>
      <c r="F72" s="78">
        <v>10</v>
      </c>
    </row>
    <row r="73" spans="1:6" ht="31.5" customHeight="1" x14ac:dyDescent="0.55000000000000004">
      <c r="A73" s="366"/>
      <c r="B73" s="51" t="s">
        <v>24</v>
      </c>
      <c r="C73" s="203">
        <v>25</v>
      </c>
      <c r="D73" s="22" t="s">
        <v>317</v>
      </c>
      <c r="E73" s="207"/>
      <c r="F73" s="23">
        <v>15</v>
      </c>
    </row>
    <row r="74" spans="1:6" ht="30" customHeight="1" x14ac:dyDescent="0.55000000000000004">
      <c r="A74" s="367" t="s">
        <v>50</v>
      </c>
      <c r="B74" s="369" t="s">
        <v>51</v>
      </c>
      <c r="C74" s="370"/>
      <c r="D74" s="370"/>
      <c r="E74" s="58"/>
      <c r="F74" s="59" t="s">
        <v>52</v>
      </c>
    </row>
    <row r="75" spans="1:6" ht="30" customHeight="1" x14ac:dyDescent="0.55000000000000004">
      <c r="A75" s="368"/>
      <c r="B75" s="371"/>
      <c r="C75" s="372"/>
      <c r="D75" s="372"/>
      <c r="E75" s="60"/>
      <c r="F75" s="61">
        <f>SUM(F76:F83,F86,F87:F89)</f>
        <v>120</v>
      </c>
    </row>
    <row r="76" spans="1:6" ht="50.1" customHeight="1" x14ac:dyDescent="0.55000000000000004">
      <c r="A76" s="373" t="s">
        <v>318</v>
      </c>
      <c r="B76" s="47" t="s">
        <v>24</v>
      </c>
      <c r="C76" s="25">
        <v>26</v>
      </c>
      <c r="D76" s="17" t="s">
        <v>53</v>
      </c>
      <c r="E76" s="47"/>
      <c r="F76" s="18">
        <v>10</v>
      </c>
    </row>
    <row r="77" spans="1:6" ht="38.1" customHeight="1" x14ac:dyDescent="0.55000000000000004">
      <c r="A77" s="374"/>
      <c r="B77" s="49" t="s">
        <v>24</v>
      </c>
      <c r="C77" s="50">
        <v>27</v>
      </c>
      <c r="D77" s="20" t="s">
        <v>54</v>
      </c>
      <c r="E77" s="49"/>
      <c r="F77" s="30">
        <v>10</v>
      </c>
    </row>
    <row r="78" spans="1:6" ht="38.1" customHeight="1" x14ac:dyDescent="0.55000000000000004">
      <c r="A78" s="374"/>
      <c r="B78" s="49" t="s">
        <v>24</v>
      </c>
      <c r="C78" s="50">
        <v>28</v>
      </c>
      <c r="D78" s="20" t="s">
        <v>55</v>
      </c>
      <c r="E78" s="49"/>
      <c r="F78" s="30">
        <v>10</v>
      </c>
    </row>
    <row r="79" spans="1:6" ht="65.099999999999994" customHeight="1" x14ac:dyDescent="0.55000000000000004">
      <c r="A79" s="374"/>
      <c r="B79" s="49" t="s">
        <v>24</v>
      </c>
      <c r="C79" s="50">
        <v>29</v>
      </c>
      <c r="D79" s="20" t="s">
        <v>56</v>
      </c>
      <c r="E79" s="49"/>
      <c r="F79" s="30">
        <v>10</v>
      </c>
    </row>
    <row r="80" spans="1:6" ht="38.1" customHeight="1" x14ac:dyDescent="0.55000000000000004">
      <c r="A80" s="374"/>
      <c r="B80" s="49" t="s">
        <v>24</v>
      </c>
      <c r="C80" s="50">
        <v>30</v>
      </c>
      <c r="D80" s="20" t="s">
        <v>57</v>
      </c>
      <c r="E80" s="49"/>
      <c r="F80" s="30">
        <v>5</v>
      </c>
    </row>
    <row r="81" spans="1:8" ht="38.1" customHeight="1" x14ac:dyDescent="0.55000000000000004">
      <c r="A81" s="375"/>
      <c r="B81" s="51" t="s">
        <v>24</v>
      </c>
      <c r="C81" s="28">
        <v>31</v>
      </c>
      <c r="D81" s="22" t="s">
        <v>58</v>
      </c>
      <c r="E81" s="51"/>
      <c r="F81" s="23">
        <v>5</v>
      </c>
    </row>
    <row r="82" spans="1:8" ht="38.1" customHeight="1" x14ac:dyDescent="0.55000000000000004">
      <c r="A82" s="373" t="s">
        <v>319</v>
      </c>
      <c r="B82" s="47" t="s">
        <v>24</v>
      </c>
      <c r="C82" s="25">
        <v>32</v>
      </c>
      <c r="D82" s="17" t="s">
        <v>59</v>
      </c>
      <c r="E82" s="47"/>
      <c r="F82" s="18">
        <v>10</v>
      </c>
    </row>
    <row r="83" spans="1:8" ht="38.1" customHeight="1" x14ac:dyDescent="0.55000000000000004">
      <c r="A83" s="374"/>
      <c r="B83" s="49" t="s">
        <v>24</v>
      </c>
      <c r="C83" s="50">
        <v>33</v>
      </c>
      <c r="D83" s="20" t="s">
        <v>60</v>
      </c>
      <c r="E83" s="49"/>
      <c r="F83" s="30">
        <v>10</v>
      </c>
    </row>
    <row r="84" spans="1:8" ht="30" customHeight="1" x14ac:dyDescent="0.55000000000000004">
      <c r="A84" s="374"/>
      <c r="B84" s="49" t="s">
        <v>24</v>
      </c>
      <c r="C84" s="50">
        <v>34</v>
      </c>
      <c r="D84" s="20" t="s">
        <v>61</v>
      </c>
      <c r="E84" s="445" t="s">
        <v>62</v>
      </c>
      <c r="F84" s="30">
        <v>10</v>
      </c>
    </row>
    <row r="85" spans="1:8" ht="50.1" customHeight="1" x14ac:dyDescent="0.55000000000000004">
      <c r="A85" s="374"/>
      <c r="B85" s="49" t="s">
        <v>24</v>
      </c>
      <c r="C85" s="50">
        <v>35</v>
      </c>
      <c r="D85" s="20" t="s">
        <v>63</v>
      </c>
      <c r="E85" s="445"/>
      <c r="F85" s="30">
        <v>15</v>
      </c>
    </row>
    <row r="86" spans="1:8" ht="38.1" customHeight="1" x14ac:dyDescent="0.55000000000000004">
      <c r="A86" s="375"/>
      <c r="B86" s="49" t="s">
        <v>24</v>
      </c>
      <c r="C86" s="28">
        <v>36</v>
      </c>
      <c r="D86" s="22" t="s">
        <v>64</v>
      </c>
      <c r="E86" s="446"/>
      <c r="F86" s="23">
        <v>20</v>
      </c>
    </row>
    <row r="87" spans="1:8" ht="38.1" customHeight="1" x14ac:dyDescent="0.55000000000000004">
      <c r="A87" s="470" t="s">
        <v>320</v>
      </c>
      <c r="B87" s="47" t="s">
        <v>24</v>
      </c>
      <c r="C87" s="25">
        <v>37</v>
      </c>
      <c r="D87" s="17" t="s">
        <v>65</v>
      </c>
      <c r="E87" s="47"/>
      <c r="F87" s="18">
        <v>10</v>
      </c>
    </row>
    <row r="88" spans="1:8" ht="38.1" customHeight="1" x14ac:dyDescent="0.55000000000000004">
      <c r="A88" s="471"/>
      <c r="B88" s="49" t="s">
        <v>24</v>
      </c>
      <c r="C88" s="50">
        <v>38</v>
      </c>
      <c r="D88" s="20" t="s">
        <v>349</v>
      </c>
      <c r="E88" s="49"/>
      <c r="F88" s="30">
        <v>10</v>
      </c>
    </row>
    <row r="89" spans="1:8" ht="38.1" customHeight="1" x14ac:dyDescent="0.55000000000000004">
      <c r="A89" s="472"/>
      <c r="B89" s="51" t="s">
        <v>24</v>
      </c>
      <c r="C89" s="28">
        <v>39</v>
      </c>
      <c r="D89" s="22" t="s">
        <v>355</v>
      </c>
      <c r="E89" s="51"/>
      <c r="F89" s="23">
        <v>10</v>
      </c>
    </row>
    <row r="90" spans="1:8" ht="30" customHeight="1" x14ac:dyDescent="0.55000000000000004">
      <c r="A90" s="473" t="s">
        <v>66</v>
      </c>
      <c r="B90" s="475" t="s">
        <v>67</v>
      </c>
      <c r="C90" s="476"/>
      <c r="D90" s="476"/>
      <c r="E90" s="63"/>
      <c r="F90" s="64" t="s">
        <v>52</v>
      </c>
    </row>
    <row r="91" spans="1:8" ht="30" customHeight="1" x14ac:dyDescent="0.55000000000000004">
      <c r="A91" s="474"/>
      <c r="B91" s="477"/>
      <c r="C91" s="478"/>
      <c r="D91" s="478"/>
      <c r="E91" s="65"/>
      <c r="F91" s="66">
        <f>SUM(F92:F104)</f>
        <v>100</v>
      </c>
    </row>
    <row r="92" spans="1:8" ht="38.1" customHeight="1" x14ac:dyDescent="0.55000000000000004">
      <c r="A92" s="456" t="s">
        <v>321</v>
      </c>
      <c r="B92" s="47" t="s">
        <v>24</v>
      </c>
      <c r="C92" s="62">
        <v>40</v>
      </c>
      <c r="D92" s="17" t="s">
        <v>360</v>
      </c>
      <c r="E92" s="47"/>
      <c r="F92" s="18">
        <v>5</v>
      </c>
    </row>
    <row r="93" spans="1:8" ht="30" customHeight="1" x14ac:dyDescent="0.55000000000000004">
      <c r="A93" s="457"/>
      <c r="B93" s="49" t="s">
        <v>24</v>
      </c>
      <c r="C93" s="50">
        <v>41</v>
      </c>
      <c r="D93" s="20" t="s">
        <v>68</v>
      </c>
      <c r="E93" s="49"/>
      <c r="F93" s="30">
        <v>5</v>
      </c>
    </row>
    <row r="94" spans="1:8" ht="30" customHeight="1" x14ac:dyDescent="0.55000000000000004">
      <c r="A94" s="457"/>
      <c r="B94" s="49" t="s">
        <v>24</v>
      </c>
      <c r="C94" s="50">
        <v>42</v>
      </c>
      <c r="D94" s="20" t="s">
        <v>272</v>
      </c>
      <c r="E94" s="49"/>
      <c r="F94" s="30">
        <v>10</v>
      </c>
    </row>
    <row r="95" spans="1:8" ht="38.1" customHeight="1" x14ac:dyDescent="0.55000000000000004">
      <c r="A95" s="458"/>
      <c r="B95" s="51" t="s">
        <v>24</v>
      </c>
      <c r="C95" s="28">
        <v>43</v>
      </c>
      <c r="D95" s="22" t="s">
        <v>529</v>
      </c>
      <c r="E95" s="51"/>
      <c r="F95" s="23">
        <v>10</v>
      </c>
      <c r="H95" s="68"/>
    </row>
    <row r="96" spans="1:8" ht="38.1" customHeight="1" x14ac:dyDescent="0.55000000000000004">
      <c r="A96" s="456" t="s">
        <v>322</v>
      </c>
      <c r="B96" s="47" t="s">
        <v>24</v>
      </c>
      <c r="C96" s="25">
        <v>44</v>
      </c>
      <c r="D96" s="17" t="s">
        <v>527</v>
      </c>
      <c r="E96" s="47"/>
      <c r="F96" s="18">
        <v>10</v>
      </c>
      <c r="H96" s="68"/>
    </row>
    <row r="97" spans="1:8" ht="38.1" customHeight="1" x14ac:dyDescent="0.55000000000000004">
      <c r="A97" s="457"/>
      <c r="B97" s="49" t="s">
        <v>24</v>
      </c>
      <c r="C97" s="50">
        <v>45</v>
      </c>
      <c r="D97" s="20" t="s">
        <v>528</v>
      </c>
      <c r="E97" s="49"/>
      <c r="F97" s="30">
        <v>10</v>
      </c>
      <c r="H97" s="68"/>
    </row>
    <row r="98" spans="1:8" ht="30" customHeight="1" x14ac:dyDescent="0.55000000000000004">
      <c r="A98" s="457"/>
      <c r="B98" s="49" t="s">
        <v>24</v>
      </c>
      <c r="C98" s="50">
        <v>46</v>
      </c>
      <c r="D98" s="20" t="s">
        <v>69</v>
      </c>
      <c r="E98" s="49"/>
      <c r="F98" s="30">
        <v>10</v>
      </c>
      <c r="H98" s="68"/>
    </row>
    <row r="99" spans="1:8" ht="30" customHeight="1" x14ac:dyDescent="0.55000000000000004">
      <c r="A99" s="458"/>
      <c r="B99" s="51" t="s">
        <v>24</v>
      </c>
      <c r="C99" s="28">
        <v>47</v>
      </c>
      <c r="D99" s="22" t="s">
        <v>70</v>
      </c>
      <c r="E99" s="51"/>
      <c r="F99" s="23">
        <v>10</v>
      </c>
      <c r="H99" s="68"/>
    </row>
    <row r="100" spans="1:8" ht="38.1" customHeight="1" x14ac:dyDescent="0.55000000000000004">
      <c r="A100" s="456" t="s">
        <v>323</v>
      </c>
      <c r="B100" s="47" t="s">
        <v>24</v>
      </c>
      <c r="C100" s="25">
        <v>48</v>
      </c>
      <c r="D100" s="17" t="s">
        <v>113</v>
      </c>
      <c r="E100" s="47"/>
      <c r="F100" s="18">
        <v>5</v>
      </c>
      <c r="H100" s="68"/>
    </row>
    <row r="101" spans="1:8" ht="30" customHeight="1" x14ac:dyDescent="0.55000000000000004">
      <c r="A101" s="459"/>
      <c r="B101" s="49" t="s">
        <v>24</v>
      </c>
      <c r="C101" s="50">
        <v>49</v>
      </c>
      <c r="D101" s="20" t="s">
        <v>71</v>
      </c>
      <c r="E101" s="49"/>
      <c r="F101" s="30">
        <v>5</v>
      </c>
      <c r="H101" s="68"/>
    </row>
    <row r="102" spans="1:8" ht="50.1" customHeight="1" x14ac:dyDescent="0.55000000000000004">
      <c r="A102" s="459"/>
      <c r="B102" s="49" t="s">
        <v>24</v>
      </c>
      <c r="C102" s="50">
        <v>50</v>
      </c>
      <c r="D102" s="20" t="s">
        <v>530</v>
      </c>
      <c r="E102" s="49"/>
      <c r="F102" s="30">
        <v>10</v>
      </c>
      <c r="H102" s="68"/>
    </row>
    <row r="103" spans="1:8" ht="38.1" customHeight="1" x14ac:dyDescent="0.55000000000000004">
      <c r="A103" s="459"/>
      <c r="B103" s="49" t="s">
        <v>24</v>
      </c>
      <c r="C103" s="50">
        <v>51</v>
      </c>
      <c r="D103" s="20" t="s">
        <v>72</v>
      </c>
      <c r="E103" s="49"/>
      <c r="F103" s="30">
        <v>5</v>
      </c>
      <c r="H103" s="68"/>
    </row>
    <row r="104" spans="1:8" ht="38.1" customHeight="1" x14ac:dyDescent="0.55000000000000004">
      <c r="A104" s="460"/>
      <c r="B104" s="51" t="s">
        <v>24</v>
      </c>
      <c r="C104" s="28">
        <v>52</v>
      </c>
      <c r="D104" s="22" t="s">
        <v>73</v>
      </c>
      <c r="E104" s="51"/>
      <c r="F104" s="23">
        <v>5</v>
      </c>
      <c r="H104" s="68"/>
    </row>
    <row r="105" spans="1:8" ht="30" customHeight="1" x14ac:dyDescent="0.55000000000000004">
      <c r="A105" s="461" t="s">
        <v>74</v>
      </c>
      <c r="B105" s="463" t="s">
        <v>75</v>
      </c>
      <c r="C105" s="464"/>
      <c r="D105" s="464"/>
      <c r="E105" s="69"/>
      <c r="F105" s="70" t="s">
        <v>52</v>
      </c>
      <c r="H105" s="68"/>
    </row>
    <row r="106" spans="1:8" ht="30" customHeight="1" x14ac:dyDescent="0.55000000000000004">
      <c r="A106" s="462"/>
      <c r="B106" s="465"/>
      <c r="C106" s="466"/>
      <c r="D106" s="466"/>
      <c r="E106" s="71"/>
      <c r="F106" s="72">
        <f>SUM(F107:F116,F123)</f>
        <v>150</v>
      </c>
    </row>
    <row r="107" spans="1:8" ht="38.1" customHeight="1" x14ac:dyDescent="0.55000000000000004">
      <c r="A107" s="467" t="s">
        <v>324</v>
      </c>
      <c r="B107" s="47" t="s">
        <v>24</v>
      </c>
      <c r="C107" s="25">
        <v>53</v>
      </c>
      <c r="D107" s="17" t="s">
        <v>76</v>
      </c>
      <c r="E107" s="47"/>
      <c r="F107" s="18">
        <v>10</v>
      </c>
    </row>
    <row r="108" spans="1:8" ht="50.1" customHeight="1" x14ac:dyDescent="0.55000000000000004">
      <c r="A108" s="468"/>
      <c r="B108" s="49" t="s">
        <v>24</v>
      </c>
      <c r="C108" s="50">
        <v>54</v>
      </c>
      <c r="D108" s="20" t="s">
        <v>77</v>
      </c>
      <c r="E108" s="49"/>
      <c r="F108" s="30">
        <v>10</v>
      </c>
    </row>
    <row r="109" spans="1:8" ht="50.1" customHeight="1" x14ac:dyDescent="0.55000000000000004">
      <c r="A109" s="468"/>
      <c r="B109" s="49" t="s">
        <v>24</v>
      </c>
      <c r="C109" s="50">
        <v>55</v>
      </c>
      <c r="D109" s="20" t="s">
        <v>78</v>
      </c>
      <c r="E109" s="49"/>
      <c r="F109" s="30">
        <v>10</v>
      </c>
    </row>
    <row r="110" spans="1:8" ht="38.1" customHeight="1" x14ac:dyDescent="0.55000000000000004">
      <c r="A110" s="469"/>
      <c r="B110" s="51" t="s">
        <v>24</v>
      </c>
      <c r="C110" s="28">
        <v>56</v>
      </c>
      <c r="D110" s="22" t="s">
        <v>79</v>
      </c>
      <c r="E110" s="51"/>
      <c r="F110" s="23">
        <v>10</v>
      </c>
    </row>
    <row r="111" spans="1:8" ht="38.1" customHeight="1" x14ac:dyDescent="0.55000000000000004">
      <c r="A111" s="447" t="s">
        <v>325</v>
      </c>
      <c r="B111" s="47" t="s">
        <v>24</v>
      </c>
      <c r="C111" s="25">
        <v>57</v>
      </c>
      <c r="D111" s="17" t="s">
        <v>115</v>
      </c>
      <c r="E111" s="47"/>
      <c r="F111" s="18">
        <v>10</v>
      </c>
    </row>
    <row r="112" spans="1:8" ht="30" customHeight="1" x14ac:dyDescent="0.55000000000000004">
      <c r="A112" s="448"/>
      <c r="B112" s="49" t="s">
        <v>24</v>
      </c>
      <c r="C112" s="50">
        <v>58</v>
      </c>
      <c r="D112" s="20" t="s">
        <v>80</v>
      </c>
      <c r="E112" s="49"/>
      <c r="F112" s="30">
        <v>10</v>
      </c>
    </row>
    <row r="113" spans="1:6" ht="38.1" customHeight="1" x14ac:dyDescent="0.55000000000000004">
      <c r="A113" s="449"/>
      <c r="B113" s="51" t="s">
        <v>24</v>
      </c>
      <c r="C113" s="28">
        <v>59</v>
      </c>
      <c r="D113" s="22" t="s">
        <v>81</v>
      </c>
      <c r="E113" s="51"/>
      <c r="F113" s="23">
        <v>10</v>
      </c>
    </row>
    <row r="114" spans="1:6" ht="30" customHeight="1" x14ac:dyDescent="0.55000000000000004">
      <c r="A114" s="447" t="s">
        <v>326</v>
      </c>
      <c r="B114" s="80" t="s">
        <v>24</v>
      </c>
      <c r="C114" s="81">
        <v>60</v>
      </c>
      <c r="D114" s="17" t="s">
        <v>82</v>
      </c>
      <c r="E114" s="80"/>
      <c r="F114" s="21">
        <v>10</v>
      </c>
    </row>
    <row r="115" spans="1:6" ht="38.1" customHeight="1" x14ac:dyDescent="0.55000000000000004">
      <c r="A115" s="448"/>
      <c r="B115" s="49" t="s">
        <v>24</v>
      </c>
      <c r="C115" s="50">
        <v>61</v>
      </c>
      <c r="D115" s="20" t="s">
        <v>83</v>
      </c>
      <c r="E115" s="49"/>
      <c r="F115" s="30">
        <v>10</v>
      </c>
    </row>
    <row r="116" spans="1:6" ht="50.1" customHeight="1" x14ac:dyDescent="0.55000000000000004">
      <c r="A116" s="449"/>
      <c r="B116" s="51" t="s">
        <v>24</v>
      </c>
      <c r="C116" s="28">
        <v>62</v>
      </c>
      <c r="D116" s="22" t="s">
        <v>117</v>
      </c>
      <c r="E116" s="51"/>
      <c r="F116" s="23">
        <v>10</v>
      </c>
    </row>
    <row r="117" spans="1:6" ht="30" customHeight="1" x14ac:dyDescent="0.55000000000000004">
      <c r="A117" s="450" t="s">
        <v>328</v>
      </c>
      <c r="B117" s="453" t="s">
        <v>24</v>
      </c>
      <c r="C117" s="353">
        <v>63</v>
      </c>
      <c r="D117" s="73" t="s">
        <v>84</v>
      </c>
      <c r="E117" s="356" t="s">
        <v>85</v>
      </c>
      <c r="F117" s="82">
        <v>25</v>
      </c>
    </row>
    <row r="118" spans="1:6" ht="30" customHeight="1" x14ac:dyDescent="0.55000000000000004">
      <c r="A118" s="451"/>
      <c r="B118" s="454"/>
      <c r="C118" s="354"/>
      <c r="D118" s="20" t="s">
        <v>86</v>
      </c>
      <c r="E118" s="357"/>
      <c r="F118" s="83">
        <v>10</v>
      </c>
    </row>
    <row r="119" spans="1:6" ht="30" customHeight="1" x14ac:dyDescent="0.55000000000000004">
      <c r="A119" s="451"/>
      <c r="B119" s="454"/>
      <c r="C119" s="354"/>
      <c r="D119" s="20" t="s">
        <v>84</v>
      </c>
      <c r="E119" s="358" t="s">
        <v>87</v>
      </c>
      <c r="F119" s="30">
        <v>35</v>
      </c>
    </row>
    <row r="120" spans="1:6" ht="30" customHeight="1" x14ac:dyDescent="0.55000000000000004">
      <c r="A120" s="451"/>
      <c r="B120" s="454"/>
      <c r="C120" s="354"/>
      <c r="D120" s="20" t="s">
        <v>88</v>
      </c>
      <c r="E120" s="358"/>
      <c r="F120" s="30">
        <v>15</v>
      </c>
    </row>
    <row r="121" spans="1:6" ht="30" customHeight="1" x14ac:dyDescent="0.55000000000000004">
      <c r="A121" s="451"/>
      <c r="B121" s="454"/>
      <c r="C121" s="354"/>
      <c r="D121" s="20" t="s">
        <v>84</v>
      </c>
      <c r="E121" s="358" t="s">
        <v>89</v>
      </c>
      <c r="F121" s="30">
        <v>45</v>
      </c>
    </row>
    <row r="122" spans="1:6" ht="30" customHeight="1" x14ac:dyDescent="0.55000000000000004">
      <c r="A122" s="451"/>
      <c r="B122" s="454"/>
      <c r="C122" s="354"/>
      <c r="D122" s="20" t="s">
        <v>88</v>
      </c>
      <c r="E122" s="358"/>
      <c r="F122" s="30">
        <v>20</v>
      </c>
    </row>
    <row r="123" spans="1:6" ht="30" customHeight="1" x14ac:dyDescent="0.55000000000000004">
      <c r="A123" s="451"/>
      <c r="B123" s="454"/>
      <c r="C123" s="354"/>
      <c r="D123" s="20" t="s">
        <v>84</v>
      </c>
      <c r="E123" s="358" t="s">
        <v>90</v>
      </c>
      <c r="F123" s="74">
        <v>50</v>
      </c>
    </row>
    <row r="124" spans="1:6" ht="30" customHeight="1" x14ac:dyDescent="0.55000000000000004">
      <c r="A124" s="452"/>
      <c r="B124" s="455"/>
      <c r="C124" s="355"/>
      <c r="D124" s="22" t="s">
        <v>88</v>
      </c>
      <c r="E124" s="359"/>
      <c r="F124" s="23">
        <v>25</v>
      </c>
    </row>
    <row r="125" spans="1:6" ht="30" customHeight="1" x14ac:dyDescent="0.4">
      <c r="A125" s="351" t="s">
        <v>327</v>
      </c>
      <c r="B125" s="352"/>
      <c r="C125" s="352"/>
      <c r="D125" s="352"/>
      <c r="E125" s="352"/>
      <c r="F125" s="352"/>
    </row>
    <row r="126" spans="1:6" ht="20.100000000000001" customHeight="1" x14ac:dyDescent="0.55000000000000004">
      <c r="A126" s="75" t="s">
        <v>91</v>
      </c>
    </row>
    <row r="127" spans="1:6" ht="20.100000000000001" customHeight="1" x14ac:dyDescent="0.55000000000000004">
      <c r="A127" s="75" t="s">
        <v>92</v>
      </c>
    </row>
    <row r="128" spans="1:6" ht="20.100000000000001" customHeight="1" x14ac:dyDescent="0.55000000000000004">
      <c r="A128" s="41" t="s">
        <v>93</v>
      </c>
      <c r="E128" s="76" t="s">
        <v>94</v>
      </c>
    </row>
    <row r="129" spans="1:5" ht="20.100000000000001" customHeight="1" x14ac:dyDescent="0.55000000000000004">
      <c r="A129" s="41" t="s">
        <v>95</v>
      </c>
      <c r="E129" s="76" t="s">
        <v>96</v>
      </c>
    </row>
  </sheetData>
  <mergeCells count="72">
    <mergeCell ref="E84:E86"/>
    <mergeCell ref="A111:A113"/>
    <mergeCell ref="A114:A116"/>
    <mergeCell ref="A117:A124"/>
    <mergeCell ref="B117:B124"/>
    <mergeCell ref="A96:A99"/>
    <mergeCell ref="A100:A104"/>
    <mergeCell ref="A105:A106"/>
    <mergeCell ref="B105:D106"/>
    <mergeCell ref="A107:A110"/>
    <mergeCell ref="A82:A86"/>
    <mergeCell ref="A87:A89"/>
    <mergeCell ref="A90:A91"/>
    <mergeCell ref="B90:D91"/>
    <mergeCell ref="A92:A95"/>
    <mergeCell ref="A63:A65"/>
    <mergeCell ref="B63:B65"/>
    <mergeCell ref="C63:C65"/>
    <mergeCell ref="E63:E65"/>
    <mergeCell ref="A54:A57"/>
    <mergeCell ref="B54:B57"/>
    <mergeCell ref="C54:C57"/>
    <mergeCell ref="E54:E57"/>
    <mergeCell ref="A58:A62"/>
    <mergeCell ref="B58:B62"/>
    <mergeCell ref="C58:C62"/>
    <mergeCell ref="E58:E62"/>
    <mergeCell ref="A41:A42"/>
    <mergeCell ref="B41:D42"/>
    <mergeCell ref="A43:A45"/>
    <mergeCell ref="A46:A48"/>
    <mergeCell ref="A49:A53"/>
    <mergeCell ref="C25:C26"/>
    <mergeCell ref="E25:E26"/>
    <mergeCell ref="C29:C31"/>
    <mergeCell ref="E29:E31"/>
    <mergeCell ref="A40:F40"/>
    <mergeCell ref="A32:A33"/>
    <mergeCell ref="B32:B33"/>
    <mergeCell ref="C32:C33"/>
    <mergeCell ref="E32:E33"/>
    <mergeCell ref="A27:A28"/>
    <mergeCell ref="C15:F15"/>
    <mergeCell ref="A2:F2"/>
    <mergeCell ref="C13:F13"/>
    <mergeCell ref="C14:F14"/>
    <mergeCell ref="A29:A31"/>
    <mergeCell ref="B29:B31"/>
    <mergeCell ref="C16:F16"/>
    <mergeCell ref="C17:F17"/>
    <mergeCell ref="C18:F19"/>
    <mergeCell ref="A21:A22"/>
    <mergeCell ref="B21:E22"/>
    <mergeCell ref="A23:A26"/>
    <mergeCell ref="B23:B24"/>
    <mergeCell ref="C23:C24"/>
    <mergeCell ref="E23:E24"/>
    <mergeCell ref="B25:B26"/>
    <mergeCell ref="E66:E69"/>
    <mergeCell ref="A70:A73"/>
    <mergeCell ref="A74:A75"/>
    <mergeCell ref="B74:D75"/>
    <mergeCell ref="A76:A81"/>
    <mergeCell ref="A66:A69"/>
    <mergeCell ref="B66:B69"/>
    <mergeCell ref="C66:C69"/>
    <mergeCell ref="A125:F125"/>
    <mergeCell ref="C117:C124"/>
    <mergeCell ref="E117:E118"/>
    <mergeCell ref="E119:E120"/>
    <mergeCell ref="E121:E122"/>
    <mergeCell ref="E123:E124"/>
  </mergeCells>
  <pageMargins left="0.28000000000000003" right="0.1" top="0.25" bottom="0.17" header="0.17" footer="0.17"/>
  <pageSetup paperSize="9" scale="98" fitToHeight="0" orientation="portrait" r:id="rId1"/>
  <rowBreaks count="5" manualBreakCount="5">
    <brk id="20" max="16383" man="1"/>
    <brk id="40" max="16383" man="1"/>
    <brk id="71" max="16383" man="1"/>
    <brk id="87" max="16383" man="1"/>
    <brk id="102"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50E8-6389-46F3-BB02-8FE27F73B8F5}">
  <sheetPr>
    <tabColor theme="9"/>
  </sheetPr>
  <dimension ref="A1:T112"/>
  <sheetViews>
    <sheetView tabSelected="1" topLeftCell="A52" zoomScale="75" zoomScaleNormal="75" workbookViewId="0">
      <selection activeCell="F34" sqref="F34"/>
    </sheetView>
  </sheetViews>
  <sheetFormatPr defaultColWidth="8.83984375" defaultRowHeight="15.3" x14ac:dyDescent="0.55000000000000004"/>
  <cols>
    <col min="1" max="1" width="11" style="262" customWidth="1"/>
    <col min="2" max="2" width="5.83984375" style="2" customWidth="1"/>
    <col min="3" max="3" width="6.15625" style="2" customWidth="1"/>
    <col min="4" max="4" width="34" style="3" customWidth="1"/>
    <col min="5" max="5" width="18.68359375" style="2" customWidth="1"/>
    <col min="6" max="6" width="18.68359375" style="197" customWidth="1"/>
    <col min="7" max="11" width="18.68359375" style="198" customWidth="1"/>
    <col min="12" max="16384" width="8.83984375" style="5"/>
  </cols>
  <sheetData>
    <row r="1" spans="1:17" ht="16.2" x14ac:dyDescent="0.55000000000000004">
      <c r="A1" s="258" t="s">
        <v>98</v>
      </c>
      <c r="B1" s="106"/>
      <c r="C1" s="106"/>
      <c r="D1" s="107"/>
      <c r="E1" s="106"/>
      <c r="F1" s="108"/>
      <c r="G1" s="109"/>
      <c r="H1" s="109"/>
      <c r="I1" s="109"/>
      <c r="J1" s="109"/>
      <c r="K1" s="109"/>
    </row>
    <row r="2" spans="1:17" ht="16.2" x14ac:dyDescent="0.55000000000000004">
      <c r="A2" s="259" t="s">
        <v>99</v>
      </c>
      <c r="B2" s="106"/>
      <c r="C2" s="106"/>
      <c r="D2" s="107"/>
      <c r="E2" s="106"/>
      <c r="F2" s="108"/>
      <c r="G2" s="109"/>
      <c r="H2" s="109"/>
      <c r="I2" s="109"/>
      <c r="J2" s="109"/>
      <c r="K2" s="109"/>
    </row>
    <row r="3" spans="1:17" ht="16.2" x14ac:dyDescent="0.55000000000000004">
      <c r="A3" s="260"/>
      <c r="B3" s="110"/>
      <c r="C3" s="110"/>
      <c r="D3" s="110"/>
      <c r="E3" s="110"/>
      <c r="F3" s="111"/>
      <c r="G3" s="109"/>
      <c r="H3" s="109"/>
      <c r="I3" s="109"/>
      <c r="J3" s="109"/>
      <c r="K3" s="109"/>
    </row>
    <row r="4" spans="1:17" ht="34.5" customHeight="1" x14ac:dyDescent="0.55000000000000004">
      <c r="A4" s="260"/>
      <c r="B4" s="110"/>
      <c r="C4" s="110"/>
      <c r="D4" s="533" t="s">
        <v>409</v>
      </c>
      <c r="E4" s="533"/>
      <c r="F4" s="533"/>
      <c r="G4" s="533"/>
      <c r="H4" s="533"/>
      <c r="I4" s="533"/>
      <c r="J4" s="533"/>
      <c r="K4" s="533"/>
    </row>
    <row r="5" spans="1:17" ht="34.5" customHeight="1" x14ac:dyDescent="0.55000000000000004">
      <c r="A5" s="260"/>
      <c r="B5" s="110"/>
      <c r="C5" s="110"/>
      <c r="D5" s="110"/>
      <c r="E5" s="110"/>
      <c r="F5" s="111"/>
      <c r="G5" s="109"/>
      <c r="H5" s="109"/>
      <c r="I5" s="109"/>
      <c r="J5" s="109"/>
      <c r="K5" s="109"/>
    </row>
    <row r="6" spans="1:17" ht="34.5" customHeight="1" x14ac:dyDescent="0.55000000000000004">
      <c r="A6" s="260"/>
      <c r="B6" s="110"/>
      <c r="C6" s="110"/>
      <c r="D6" s="112"/>
      <c r="E6" s="113" t="s">
        <v>150</v>
      </c>
      <c r="F6" s="114" t="s">
        <v>151</v>
      </c>
      <c r="G6" s="115" t="s">
        <v>152</v>
      </c>
      <c r="H6" s="116" t="s">
        <v>153</v>
      </c>
      <c r="I6" s="117" t="s">
        <v>97</v>
      </c>
      <c r="J6" s="118" t="s">
        <v>154</v>
      </c>
      <c r="K6" s="119" t="s">
        <v>155</v>
      </c>
    </row>
    <row r="7" spans="1:17" ht="34.5" customHeight="1" x14ac:dyDescent="0.55000000000000004">
      <c r="A7" s="260"/>
      <c r="B7" s="110"/>
      <c r="C7" s="110"/>
      <c r="D7" s="120" t="s">
        <v>156</v>
      </c>
      <c r="E7" s="121">
        <v>80</v>
      </c>
      <c r="F7" s="121">
        <v>90</v>
      </c>
      <c r="G7" s="121">
        <v>100</v>
      </c>
      <c r="H7" s="121">
        <v>120</v>
      </c>
      <c r="I7" s="121">
        <v>140</v>
      </c>
      <c r="J7" s="121">
        <v>150</v>
      </c>
      <c r="K7" s="121">
        <v>180</v>
      </c>
    </row>
    <row r="8" spans="1:17" ht="34.5" customHeight="1" x14ac:dyDescent="0.55000000000000004">
      <c r="A8" s="261"/>
      <c r="B8" s="110"/>
      <c r="C8" s="110"/>
      <c r="D8" s="122" t="s">
        <v>157</v>
      </c>
      <c r="E8" s="123">
        <v>100</v>
      </c>
      <c r="F8" s="123">
        <v>180</v>
      </c>
      <c r="G8" s="123">
        <v>240</v>
      </c>
      <c r="H8" s="123">
        <v>340</v>
      </c>
      <c r="I8" s="123">
        <v>400</v>
      </c>
      <c r="J8" s="123">
        <v>420</v>
      </c>
      <c r="K8" s="123">
        <v>450</v>
      </c>
      <c r="Q8" s="5" t="s">
        <v>141</v>
      </c>
    </row>
    <row r="9" spans="1:17" ht="34.5" customHeight="1" x14ac:dyDescent="0.55000000000000004">
      <c r="A9" s="261"/>
      <c r="B9" s="110"/>
      <c r="C9" s="110"/>
      <c r="D9" s="124" t="s">
        <v>158</v>
      </c>
      <c r="E9" s="123">
        <v>5</v>
      </c>
      <c r="F9" s="123">
        <v>5</v>
      </c>
      <c r="G9" s="123">
        <v>10</v>
      </c>
      <c r="H9" s="123">
        <v>40</v>
      </c>
      <c r="I9" s="123">
        <v>90</v>
      </c>
      <c r="J9" s="123">
        <v>110</v>
      </c>
      <c r="K9" s="123">
        <v>120</v>
      </c>
    </row>
    <row r="10" spans="1:17" ht="34.5" customHeight="1" x14ac:dyDescent="0.55000000000000004">
      <c r="A10" s="261"/>
      <c r="B10" s="110"/>
      <c r="C10" s="110"/>
      <c r="D10" s="125" t="s">
        <v>159</v>
      </c>
      <c r="E10" s="123">
        <v>5</v>
      </c>
      <c r="F10" s="123">
        <v>5</v>
      </c>
      <c r="G10" s="123">
        <v>10</v>
      </c>
      <c r="H10" s="123">
        <v>40</v>
      </c>
      <c r="I10" s="123">
        <v>70</v>
      </c>
      <c r="J10" s="123">
        <v>80</v>
      </c>
      <c r="K10" s="123">
        <v>100</v>
      </c>
    </row>
    <row r="11" spans="1:17" ht="34.5" customHeight="1" x14ac:dyDescent="0.55000000000000004">
      <c r="A11" s="261"/>
      <c r="B11" s="110"/>
      <c r="C11" s="110"/>
      <c r="D11" s="126" t="s">
        <v>160</v>
      </c>
      <c r="E11" s="123">
        <v>10</v>
      </c>
      <c r="F11" s="123">
        <v>20</v>
      </c>
      <c r="G11" s="123">
        <v>40</v>
      </c>
      <c r="H11" s="123">
        <v>60</v>
      </c>
      <c r="I11" s="123">
        <v>100</v>
      </c>
      <c r="J11" s="123">
        <v>140</v>
      </c>
      <c r="K11" s="123">
        <v>150</v>
      </c>
    </row>
    <row r="12" spans="1:17" ht="93" customHeight="1" x14ac:dyDescent="0.55000000000000004">
      <c r="A12" s="261"/>
      <c r="B12" s="110"/>
      <c r="C12" s="110"/>
      <c r="D12" s="127" t="s">
        <v>161</v>
      </c>
      <c r="E12" s="128">
        <v>200</v>
      </c>
      <c r="F12" s="129">
        <v>300</v>
      </c>
      <c r="G12" s="130">
        <v>400</v>
      </c>
      <c r="H12" s="131">
        <v>600</v>
      </c>
      <c r="I12" s="132">
        <v>800</v>
      </c>
      <c r="J12" s="133">
        <v>900</v>
      </c>
      <c r="K12" s="128">
        <v>1000</v>
      </c>
    </row>
    <row r="13" spans="1:17" s="36" customFormat="1" ht="41.25" customHeight="1" x14ac:dyDescent="0.55000000000000004">
      <c r="A13" s="534" t="s">
        <v>23</v>
      </c>
      <c r="B13" s="524" t="s">
        <v>24</v>
      </c>
      <c r="C13" s="526">
        <v>1</v>
      </c>
      <c r="D13" s="136" t="s">
        <v>162</v>
      </c>
      <c r="E13" s="528" t="s">
        <v>25</v>
      </c>
      <c r="F13" s="137">
        <v>15</v>
      </c>
      <c r="G13" s="543" t="s">
        <v>163</v>
      </c>
      <c r="H13" s="134" t="s">
        <v>164</v>
      </c>
      <c r="I13" s="136" t="s">
        <v>29</v>
      </c>
      <c r="J13" s="138"/>
      <c r="K13" s="139">
        <v>5</v>
      </c>
    </row>
    <row r="14" spans="1:17" s="36" customFormat="1" ht="50.25" customHeight="1" x14ac:dyDescent="0.55000000000000004">
      <c r="A14" s="535"/>
      <c r="B14" s="537"/>
      <c r="C14" s="539"/>
      <c r="D14" s="140" t="s">
        <v>521</v>
      </c>
      <c r="E14" s="541"/>
      <c r="F14" s="141">
        <v>15</v>
      </c>
      <c r="G14" s="544"/>
      <c r="H14" s="142" t="s">
        <v>165</v>
      </c>
      <c r="I14" s="143" t="s">
        <v>30</v>
      </c>
      <c r="J14" s="144"/>
      <c r="K14" s="145">
        <v>10</v>
      </c>
    </row>
    <row r="15" spans="1:17" s="36" customFormat="1" ht="48.6" x14ac:dyDescent="0.55000000000000004">
      <c r="A15" s="535"/>
      <c r="B15" s="537"/>
      <c r="C15" s="539"/>
      <c r="D15" s="140" t="s">
        <v>522</v>
      </c>
      <c r="E15" s="541"/>
      <c r="F15" s="141">
        <v>20</v>
      </c>
      <c r="G15" s="545" t="s">
        <v>31</v>
      </c>
      <c r="H15" s="548" t="s">
        <v>166</v>
      </c>
      <c r="I15" s="146" t="s">
        <v>100</v>
      </c>
      <c r="J15" s="549" t="s">
        <v>25</v>
      </c>
      <c r="K15" s="147">
        <v>5</v>
      </c>
    </row>
    <row r="16" spans="1:17" s="36" customFormat="1" ht="48.6" x14ac:dyDescent="0.55000000000000004">
      <c r="A16" s="535"/>
      <c r="B16" s="537"/>
      <c r="C16" s="539"/>
      <c r="D16" s="140" t="s">
        <v>523</v>
      </c>
      <c r="E16" s="541"/>
      <c r="F16" s="141">
        <v>25</v>
      </c>
      <c r="G16" s="546"/>
      <c r="H16" s="537"/>
      <c r="I16" s="140" t="s">
        <v>101</v>
      </c>
      <c r="J16" s="541"/>
      <c r="K16" s="148">
        <v>10</v>
      </c>
    </row>
    <row r="17" spans="1:11" s="36" customFormat="1" ht="48.6" x14ac:dyDescent="0.55000000000000004">
      <c r="A17" s="535"/>
      <c r="B17" s="537"/>
      <c r="C17" s="539"/>
      <c r="D17" s="149" t="s">
        <v>524</v>
      </c>
      <c r="E17" s="541"/>
      <c r="F17" s="150">
        <v>30</v>
      </c>
      <c r="G17" s="547"/>
      <c r="H17" s="538"/>
      <c r="I17" s="151" t="s">
        <v>102</v>
      </c>
      <c r="J17" s="542"/>
      <c r="K17" s="152">
        <v>15</v>
      </c>
    </row>
    <row r="18" spans="1:11" s="36" customFormat="1" ht="64.8" x14ac:dyDescent="0.55000000000000004">
      <c r="A18" s="535"/>
      <c r="B18" s="537"/>
      <c r="C18" s="539"/>
      <c r="D18" s="140" t="s">
        <v>525</v>
      </c>
      <c r="E18" s="541"/>
      <c r="F18" s="141">
        <v>50</v>
      </c>
      <c r="G18" s="543" t="s">
        <v>103</v>
      </c>
      <c r="H18" s="524" t="s">
        <v>167</v>
      </c>
      <c r="I18" s="136" t="s">
        <v>104</v>
      </c>
      <c r="J18" s="528" t="s">
        <v>25</v>
      </c>
      <c r="K18" s="139">
        <v>5</v>
      </c>
    </row>
    <row r="19" spans="1:11" s="36" customFormat="1" ht="81" x14ac:dyDescent="0.55000000000000004">
      <c r="A19" s="535"/>
      <c r="B19" s="537"/>
      <c r="C19" s="539"/>
      <c r="D19" s="140" t="s">
        <v>168</v>
      </c>
      <c r="E19" s="541"/>
      <c r="F19" s="141">
        <v>60</v>
      </c>
      <c r="G19" s="550"/>
      <c r="H19" s="525"/>
      <c r="I19" s="143" t="s">
        <v>105</v>
      </c>
      <c r="J19" s="529"/>
      <c r="K19" s="145">
        <v>10</v>
      </c>
    </row>
    <row r="20" spans="1:11" s="36" customFormat="1" ht="16.2" x14ac:dyDescent="0.55000000000000004">
      <c r="A20" s="535"/>
      <c r="B20" s="537"/>
      <c r="C20" s="539"/>
      <c r="D20" s="153" t="s">
        <v>169</v>
      </c>
      <c r="E20" s="541"/>
      <c r="F20" s="141">
        <v>70</v>
      </c>
      <c r="G20" s="154"/>
      <c r="H20" s="154"/>
      <c r="I20" s="154"/>
      <c r="J20" s="154"/>
      <c r="K20" s="154"/>
    </row>
    <row r="21" spans="1:11" s="36" customFormat="1" ht="16.2" x14ac:dyDescent="0.55000000000000004">
      <c r="A21" s="535"/>
      <c r="B21" s="537"/>
      <c r="C21" s="539"/>
      <c r="D21" s="140" t="s">
        <v>170</v>
      </c>
      <c r="E21" s="541"/>
      <c r="F21" s="141">
        <v>80</v>
      </c>
      <c r="G21" s="154"/>
      <c r="H21" s="154"/>
      <c r="I21" s="154"/>
      <c r="J21" s="154"/>
      <c r="K21" s="154"/>
    </row>
    <row r="22" spans="1:11" s="36" customFormat="1" ht="21.75" customHeight="1" x14ac:dyDescent="0.55000000000000004">
      <c r="A22" s="535"/>
      <c r="B22" s="537"/>
      <c r="C22" s="539"/>
      <c r="D22" s="149" t="s">
        <v>171</v>
      </c>
      <c r="E22" s="541"/>
      <c r="F22" s="150">
        <v>90</v>
      </c>
      <c r="G22" s="154"/>
      <c r="H22" s="154"/>
      <c r="I22" s="154"/>
      <c r="J22" s="154"/>
      <c r="K22" s="154"/>
    </row>
    <row r="23" spans="1:11" s="36" customFormat="1" ht="64.8" x14ac:dyDescent="0.55000000000000004">
      <c r="A23" s="535"/>
      <c r="B23" s="538"/>
      <c r="C23" s="540"/>
      <c r="D23" s="151" t="s">
        <v>410</v>
      </c>
      <c r="E23" s="542"/>
      <c r="F23" s="155">
        <v>100</v>
      </c>
      <c r="G23" s="154"/>
      <c r="H23" s="154"/>
      <c r="I23" s="154"/>
      <c r="J23" s="154"/>
      <c r="K23" s="154"/>
    </row>
    <row r="24" spans="1:11" s="36" customFormat="1" ht="16.2" x14ac:dyDescent="0.55000000000000004">
      <c r="A24" s="535"/>
      <c r="B24" s="524" t="s">
        <v>24</v>
      </c>
      <c r="C24" s="526">
        <v>2</v>
      </c>
      <c r="D24" s="136" t="s">
        <v>26</v>
      </c>
      <c r="E24" s="528" t="s">
        <v>25</v>
      </c>
      <c r="F24" s="137">
        <v>25</v>
      </c>
      <c r="G24" s="154"/>
      <c r="H24" s="154"/>
      <c r="I24" s="154"/>
      <c r="J24" s="154"/>
      <c r="K24" s="154"/>
    </row>
    <row r="25" spans="1:11" s="36" customFormat="1" ht="16.2" x14ac:dyDescent="0.55000000000000004">
      <c r="A25" s="536"/>
      <c r="B25" s="525"/>
      <c r="C25" s="527"/>
      <c r="D25" s="157" t="s">
        <v>27</v>
      </c>
      <c r="E25" s="529"/>
      <c r="F25" s="157">
        <v>40</v>
      </c>
      <c r="G25" s="154"/>
      <c r="H25" s="154"/>
      <c r="I25" s="154"/>
      <c r="J25" s="154"/>
      <c r="K25" s="154"/>
    </row>
    <row r="26" spans="1:11" ht="33" customHeight="1" x14ac:dyDescent="0.55000000000000004">
      <c r="A26" s="530" t="s">
        <v>43</v>
      </c>
      <c r="B26" s="532" t="s">
        <v>172</v>
      </c>
      <c r="C26" s="532"/>
      <c r="D26" s="532"/>
      <c r="E26" s="532"/>
      <c r="F26" s="158" t="s">
        <v>22</v>
      </c>
      <c r="G26" s="522" t="s">
        <v>173</v>
      </c>
      <c r="H26" s="522"/>
      <c r="I26" s="522"/>
      <c r="J26" s="522"/>
      <c r="K26" s="523"/>
    </row>
    <row r="27" spans="1:11" ht="15.9" x14ac:dyDescent="0.55000000000000004">
      <c r="A27" s="531"/>
      <c r="B27" s="431"/>
      <c r="C27" s="431"/>
      <c r="D27" s="431"/>
      <c r="E27" s="431"/>
      <c r="F27" s="159">
        <v>450</v>
      </c>
      <c r="G27" s="160" t="s">
        <v>174</v>
      </c>
      <c r="H27" s="161" t="s">
        <v>175</v>
      </c>
      <c r="I27" s="161" t="s">
        <v>176</v>
      </c>
      <c r="J27" s="161" t="s">
        <v>177</v>
      </c>
      <c r="K27" s="161" t="s">
        <v>178</v>
      </c>
    </row>
    <row r="28" spans="1:11" s="38" customFormat="1" ht="162" x14ac:dyDescent="0.55000000000000004">
      <c r="A28" s="503" t="s">
        <v>45</v>
      </c>
      <c r="B28" s="162" t="s">
        <v>24</v>
      </c>
      <c r="C28" s="163">
        <v>7</v>
      </c>
      <c r="D28" s="164" t="s">
        <v>179</v>
      </c>
      <c r="E28" s="162"/>
      <c r="F28" s="165">
        <v>5</v>
      </c>
      <c r="G28" s="166" t="s">
        <v>180</v>
      </c>
      <c r="H28" s="162" t="s">
        <v>181</v>
      </c>
      <c r="I28" s="162" t="s">
        <v>182</v>
      </c>
      <c r="J28" s="162" t="s">
        <v>183</v>
      </c>
      <c r="K28" s="162" t="s">
        <v>184</v>
      </c>
    </row>
    <row r="29" spans="1:11" s="38" customFormat="1" ht="166.5" customHeight="1" x14ac:dyDescent="0.55000000000000004">
      <c r="A29" s="504"/>
      <c r="B29" s="167" t="s">
        <v>24</v>
      </c>
      <c r="C29" s="168">
        <v>8</v>
      </c>
      <c r="D29" s="265" t="s">
        <v>411</v>
      </c>
      <c r="E29" s="167"/>
      <c r="F29" s="169">
        <v>5</v>
      </c>
      <c r="G29" s="170" t="s">
        <v>180</v>
      </c>
      <c r="H29" s="167" t="s">
        <v>181</v>
      </c>
      <c r="I29" s="167" t="s">
        <v>182</v>
      </c>
      <c r="J29" s="167" t="s">
        <v>183</v>
      </c>
      <c r="K29" s="167" t="s">
        <v>184</v>
      </c>
    </row>
    <row r="30" spans="1:11" s="38" customFormat="1" ht="210.6" x14ac:dyDescent="0.55000000000000004">
      <c r="A30" s="505"/>
      <c r="B30" s="162" t="s">
        <v>24</v>
      </c>
      <c r="C30" s="163">
        <v>9</v>
      </c>
      <c r="D30" s="164" t="s">
        <v>185</v>
      </c>
      <c r="E30" s="162"/>
      <c r="F30" s="165">
        <v>5</v>
      </c>
      <c r="G30" s="171"/>
      <c r="H30" s="164"/>
      <c r="I30" s="163" t="s">
        <v>186</v>
      </c>
      <c r="J30" s="163" t="s">
        <v>187</v>
      </c>
      <c r="K30" s="163" t="s">
        <v>188</v>
      </c>
    </row>
    <row r="31" spans="1:11" s="38" customFormat="1" ht="178.2" x14ac:dyDescent="0.55000000000000004">
      <c r="A31" s="494" t="s">
        <v>47</v>
      </c>
      <c r="B31" s="263" t="s">
        <v>24</v>
      </c>
      <c r="C31" s="266">
        <v>10</v>
      </c>
      <c r="D31" s="267" t="s">
        <v>329</v>
      </c>
      <c r="E31" s="263" t="s">
        <v>141</v>
      </c>
      <c r="F31" s="268">
        <v>5</v>
      </c>
      <c r="G31" s="170"/>
      <c r="H31" s="284" t="s">
        <v>415</v>
      </c>
      <c r="I31" s="284" t="s">
        <v>414</v>
      </c>
      <c r="J31" s="284" t="s">
        <v>413</v>
      </c>
      <c r="K31" s="284" t="s">
        <v>412</v>
      </c>
    </row>
    <row r="32" spans="1:11" s="38" customFormat="1" ht="268.5" customHeight="1" x14ac:dyDescent="0.55000000000000004">
      <c r="A32" s="494"/>
      <c r="B32" s="162" t="s">
        <v>24</v>
      </c>
      <c r="C32" s="163">
        <v>11</v>
      </c>
      <c r="D32" s="164" t="s">
        <v>331</v>
      </c>
      <c r="E32" s="162"/>
      <c r="F32" s="165">
        <v>5</v>
      </c>
      <c r="G32" s="171" t="s">
        <v>180</v>
      </c>
      <c r="H32" s="164" t="s">
        <v>181</v>
      </c>
      <c r="I32" s="164" t="s">
        <v>182</v>
      </c>
      <c r="J32" s="164" t="s">
        <v>183</v>
      </c>
      <c r="K32" s="163" t="s">
        <v>184</v>
      </c>
    </row>
    <row r="33" spans="1:11" s="38" customFormat="1" ht="210.6" x14ac:dyDescent="0.55000000000000004">
      <c r="A33" s="494"/>
      <c r="B33" s="172" t="s">
        <v>24</v>
      </c>
      <c r="C33" s="173">
        <v>12</v>
      </c>
      <c r="D33" s="269" t="s">
        <v>332</v>
      </c>
      <c r="E33" s="172"/>
      <c r="F33" s="175">
        <v>5</v>
      </c>
      <c r="G33" s="176" t="s">
        <v>180</v>
      </c>
      <c r="H33" s="174" t="s">
        <v>181</v>
      </c>
      <c r="I33" s="174" t="s">
        <v>182</v>
      </c>
      <c r="J33" s="174" t="s">
        <v>183</v>
      </c>
      <c r="K33" s="173" t="s">
        <v>184</v>
      </c>
    </row>
    <row r="34" spans="1:11" s="292" customFormat="1" ht="177.75" customHeight="1" x14ac:dyDescent="0.55000000000000004">
      <c r="A34" s="506" t="s">
        <v>286</v>
      </c>
      <c r="B34" s="285" t="s">
        <v>24</v>
      </c>
      <c r="C34" s="286">
        <v>13</v>
      </c>
      <c r="D34" s="287" t="s">
        <v>287</v>
      </c>
      <c r="E34" s="288"/>
      <c r="F34" s="289">
        <v>10</v>
      </c>
      <c r="G34" s="290" t="s">
        <v>416</v>
      </c>
      <c r="H34" s="291" t="s">
        <v>417</v>
      </c>
      <c r="I34" s="291" t="s">
        <v>418</v>
      </c>
      <c r="J34" s="291" t="s">
        <v>419</v>
      </c>
      <c r="K34" s="291" t="s">
        <v>420</v>
      </c>
    </row>
    <row r="35" spans="1:11" s="292" customFormat="1" ht="178.2" x14ac:dyDescent="0.55000000000000004">
      <c r="A35" s="507"/>
      <c r="B35" s="293" t="s">
        <v>24</v>
      </c>
      <c r="C35" s="294">
        <v>14</v>
      </c>
      <c r="D35" s="295" t="s">
        <v>288</v>
      </c>
      <c r="E35" s="296"/>
      <c r="F35" s="196">
        <v>15</v>
      </c>
      <c r="G35" s="297" t="s">
        <v>421</v>
      </c>
      <c r="H35" s="298" t="s">
        <v>422</v>
      </c>
      <c r="I35" s="298" t="s">
        <v>423</v>
      </c>
      <c r="J35" s="298" t="s">
        <v>424</v>
      </c>
      <c r="K35" s="298" t="s">
        <v>425</v>
      </c>
    </row>
    <row r="36" spans="1:11" s="292" customFormat="1" ht="178.2" x14ac:dyDescent="0.55000000000000004">
      <c r="A36" s="507"/>
      <c r="B36" s="299" t="s">
        <v>24</v>
      </c>
      <c r="C36" s="300">
        <v>15</v>
      </c>
      <c r="D36" s="301" t="s">
        <v>289</v>
      </c>
      <c r="E36" s="302"/>
      <c r="F36" s="303">
        <v>20</v>
      </c>
      <c r="G36" s="304" t="s">
        <v>426</v>
      </c>
      <c r="H36" s="305" t="s">
        <v>427</v>
      </c>
      <c r="I36" s="305" t="s">
        <v>428</v>
      </c>
      <c r="J36" s="305" t="s">
        <v>429</v>
      </c>
      <c r="K36" s="305" t="s">
        <v>430</v>
      </c>
    </row>
    <row r="37" spans="1:11" s="292" customFormat="1" ht="194.4" x14ac:dyDescent="0.55000000000000004">
      <c r="A37" s="507"/>
      <c r="B37" s="293" t="s">
        <v>24</v>
      </c>
      <c r="C37" s="294">
        <v>16</v>
      </c>
      <c r="D37" s="301" t="s">
        <v>290</v>
      </c>
      <c r="E37" s="296"/>
      <c r="F37" s="196">
        <v>25</v>
      </c>
      <c r="G37" s="306" t="s">
        <v>431</v>
      </c>
      <c r="H37" s="306" t="s">
        <v>432</v>
      </c>
      <c r="I37" s="306" t="s">
        <v>433</v>
      </c>
      <c r="J37" s="306" t="s">
        <v>434</v>
      </c>
      <c r="K37" s="306" t="s">
        <v>435</v>
      </c>
    </row>
    <row r="38" spans="1:11" s="292" customFormat="1" ht="162" x14ac:dyDescent="0.55000000000000004">
      <c r="A38" s="508"/>
      <c r="B38" s="307" t="s">
        <v>24</v>
      </c>
      <c r="C38" s="308">
        <v>17</v>
      </c>
      <c r="D38" s="309" t="s">
        <v>291</v>
      </c>
      <c r="E38" s="310"/>
      <c r="F38" s="311">
        <v>40</v>
      </c>
      <c r="G38" s="312" t="s">
        <v>436</v>
      </c>
      <c r="H38" s="313" t="s">
        <v>437</v>
      </c>
      <c r="I38" s="313" t="s">
        <v>438</v>
      </c>
      <c r="J38" s="313" t="s">
        <v>439</v>
      </c>
      <c r="K38" s="313" t="s">
        <v>440</v>
      </c>
    </row>
    <row r="39" spans="1:11" s="292" customFormat="1" ht="162" x14ac:dyDescent="0.55000000000000004">
      <c r="A39" s="506" t="s">
        <v>292</v>
      </c>
      <c r="B39" s="510" t="s">
        <v>24</v>
      </c>
      <c r="C39" s="514">
        <v>18</v>
      </c>
      <c r="D39" s="314" t="s">
        <v>293</v>
      </c>
      <c r="E39" s="518" t="s">
        <v>49</v>
      </c>
      <c r="F39" s="315">
        <v>10</v>
      </c>
      <c r="G39" s="316" t="s">
        <v>441</v>
      </c>
      <c r="H39" s="317" t="s">
        <v>442</v>
      </c>
      <c r="I39" s="317" t="s">
        <v>443</v>
      </c>
      <c r="J39" s="317" t="s">
        <v>444</v>
      </c>
      <c r="K39" s="317" t="s">
        <v>445</v>
      </c>
    </row>
    <row r="40" spans="1:11" s="292" customFormat="1" ht="178.2" x14ac:dyDescent="0.55000000000000004">
      <c r="A40" s="507"/>
      <c r="B40" s="511"/>
      <c r="C40" s="515"/>
      <c r="D40" s="301" t="s">
        <v>294</v>
      </c>
      <c r="E40" s="519"/>
      <c r="F40" s="74">
        <v>20</v>
      </c>
      <c r="G40" s="318" t="s">
        <v>446</v>
      </c>
      <c r="H40" s="319" t="s">
        <v>447</v>
      </c>
      <c r="I40" s="319" t="s">
        <v>448</v>
      </c>
      <c r="J40" s="319" t="s">
        <v>449</v>
      </c>
      <c r="K40" s="319" t="s">
        <v>450</v>
      </c>
    </row>
    <row r="41" spans="1:11" s="292" customFormat="1" ht="162" x14ac:dyDescent="0.55000000000000004">
      <c r="A41" s="509"/>
      <c r="B41" s="512"/>
      <c r="C41" s="516"/>
      <c r="D41" s="320" t="s">
        <v>295</v>
      </c>
      <c r="E41" s="520"/>
      <c r="F41" s="321">
        <v>30</v>
      </c>
      <c r="G41" s="322" t="s">
        <v>451</v>
      </c>
      <c r="H41" s="323" t="s">
        <v>452</v>
      </c>
      <c r="I41" s="323" t="s">
        <v>453</v>
      </c>
      <c r="J41" s="323" t="s">
        <v>454</v>
      </c>
      <c r="K41" s="323" t="s">
        <v>455</v>
      </c>
    </row>
    <row r="42" spans="1:11" s="292" customFormat="1" ht="145.80000000000001" x14ac:dyDescent="0.55000000000000004">
      <c r="A42" s="508"/>
      <c r="B42" s="513"/>
      <c r="C42" s="517"/>
      <c r="D42" s="309" t="s">
        <v>296</v>
      </c>
      <c r="E42" s="521"/>
      <c r="F42" s="324">
        <v>50</v>
      </c>
      <c r="G42" s="325" t="s">
        <v>456</v>
      </c>
      <c r="H42" s="326" t="s">
        <v>457</v>
      </c>
      <c r="I42" s="326" t="s">
        <v>458</v>
      </c>
      <c r="J42" s="326" t="s">
        <v>459</v>
      </c>
      <c r="K42" s="326" t="s">
        <v>460</v>
      </c>
    </row>
    <row r="43" spans="1:11" s="292" customFormat="1" ht="144.4" customHeight="1" x14ac:dyDescent="0.55000000000000004">
      <c r="A43" s="497" t="s">
        <v>297</v>
      </c>
      <c r="B43" s="495" t="s">
        <v>24</v>
      </c>
      <c r="C43" s="490">
        <v>19</v>
      </c>
      <c r="D43" s="314" t="s">
        <v>298</v>
      </c>
      <c r="E43" s="491" t="s">
        <v>49</v>
      </c>
      <c r="F43" s="315">
        <v>40</v>
      </c>
      <c r="G43" s="316" t="s">
        <v>461</v>
      </c>
      <c r="H43" s="317" t="s">
        <v>462</v>
      </c>
      <c r="I43" s="317" t="s">
        <v>464</v>
      </c>
      <c r="J43" s="317" t="s">
        <v>465</v>
      </c>
      <c r="K43" s="317" t="s">
        <v>463</v>
      </c>
    </row>
    <row r="44" spans="1:11" s="292" customFormat="1" ht="145.80000000000001" x14ac:dyDescent="0.55000000000000004">
      <c r="A44" s="498"/>
      <c r="B44" s="495"/>
      <c r="C44" s="490"/>
      <c r="D44" s="301" t="s">
        <v>299</v>
      </c>
      <c r="E44" s="492"/>
      <c r="F44" s="74">
        <v>50</v>
      </c>
      <c r="G44" s="318" t="s">
        <v>466</v>
      </c>
      <c r="H44" s="319" t="s">
        <v>467</v>
      </c>
      <c r="I44" s="319" t="s">
        <v>468</v>
      </c>
      <c r="J44" s="319" t="s">
        <v>470</v>
      </c>
      <c r="K44" s="319" t="s">
        <v>469</v>
      </c>
    </row>
    <row r="45" spans="1:11" s="292" customFormat="1" ht="129.6" x14ac:dyDescent="0.55000000000000004">
      <c r="A45" s="498"/>
      <c r="B45" s="495"/>
      <c r="C45" s="490"/>
      <c r="D45" s="320" t="s">
        <v>300</v>
      </c>
      <c r="E45" s="492"/>
      <c r="F45" s="321">
        <v>60</v>
      </c>
      <c r="G45" s="318" t="s">
        <v>471</v>
      </c>
      <c r="H45" s="319" t="s">
        <v>472</v>
      </c>
      <c r="I45" s="319" t="s">
        <v>473</v>
      </c>
      <c r="J45" s="319" t="s">
        <v>474</v>
      </c>
      <c r="K45" s="319" t="s">
        <v>475</v>
      </c>
    </row>
    <row r="46" spans="1:11" s="292" customFormat="1" ht="162" x14ac:dyDescent="0.55000000000000004">
      <c r="A46" s="498"/>
      <c r="B46" s="495" t="s">
        <v>24</v>
      </c>
      <c r="C46" s="490"/>
      <c r="D46" s="320" t="s">
        <v>301</v>
      </c>
      <c r="E46" s="492"/>
      <c r="F46" s="321">
        <v>70</v>
      </c>
      <c r="G46" s="322" t="s">
        <v>476</v>
      </c>
      <c r="H46" s="323" t="s">
        <v>477</v>
      </c>
      <c r="I46" s="323" t="s">
        <v>478</v>
      </c>
      <c r="J46" s="323" t="s">
        <v>479</v>
      </c>
      <c r="K46" s="323" t="s">
        <v>480</v>
      </c>
    </row>
    <row r="47" spans="1:11" s="292" customFormat="1" ht="178.2" x14ac:dyDescent="0.55000000000000004">
      <c r="A47" s="499"/>
      <c r="B47" s="495" t="s">
        <v>24</v>
      </c>
      <c r="C47" s="490"/>
      <c r="D47" s="320" t="s">
        <v>302</v>
      </c>
      <c r="E47" s="493"/>
      <c r="F47" s="321">
        <v>80</v>
      </c>
      <c r="G47" s="325" t="s">
        <v>481</v>
      </c>
      <c r="H47" s="326" t="s">
        <v>482</v>
      </c>
      <c r="I47" s="326" t="s">
        <v>483</v>
      </c>
      <c r="J47" s="326" t="s">
        <v>484</v>
      </c>
      <c r="K47" s="326" t="s">
        <v>485</v>
      </c>
    </row>
    <row r="48" spans="1:11" s="292" customFormat="1" ht="319.89999999999998" customHeight="1" x14ac:dyDescent="0.55000000000000004">
      <c r="A48" s="500" t="s">
        <v>303</v>
      </c>
      <c r="B48" s="495" t="s">
        <v>24</v>
      </c>
      <c r="C48" s="490">
        <v>20</v>
      </c>
      <c r="D48" s="314" t="s">
        <v>304</v>
      </c>
      <c r="E48" s="487" t="s">
        <v>108</v>
      </c>
      <c r="F48" s="315">
        <v>20</v>
      </c>
      <c r="G48" s="327" t="s">
        <v>486</v>
      </c>
      <c r="H48" s="328" t="s">
        <v>487</v>
      </c>
      <c r="I48" s="328" t="s">
        <v>488</v>
      </c>
      <c r="J48" s="328" t="s">
        <v>489</v>
      </c>
      <c r="K48" s="317" t="s">
        <v>490</v>
      </c>
    </row>
    <row r="49" spans="1:20" s="292" customFormat="1" ht="259.2" x14ac:dyDescent="0.55000000000000004">
      <c r="A49" s="501"/>
      <c r="B49" s="495" t="s">
        <v>24</v>
      </c>
      <c r="C49" s="490">
        <v>32</v>
      </c>
      <c r="D49" s="301" t="s">
        <v>305</v>
      </c>
      <c r="E49" s="488"/>
      <c r="F49" s="74">
        <v>30</v>
      </c>
      <c r="G49" s="322" t="s">
        <v>491</v>
      </c>
      <c r="H49" s="329" t="s">
        <v>492</v>
      </c>
      <c r="I49" s="329" t="s">
        <v>493</v>
      </c>
      <c r="J49" s="329" t="s">
        <v>494</v>
      </c>
      <c r="K49" s="323" t="s">
        <v>495</v>
      </c>
    </row>
    <row r="50" spans="1:20" s="292" customFormat="1" ht="243" x14ac:dyDescent="0.55000000000000004">
      <c r="A50" s="502"/>
      <c r="B50" s="495" t="s">
        <v>24</v>
      </c>
      <c r="C50" s="490">
        <v>33</v>
      </c>
      <c r="D50" s="309" t="s">
        <v>306</v>
      </c>
      <c r="E50" s="489"/>
      <c r="F50" s="324">
        <v>50</v>
      </c>
      <c r="G50" s="325" t="s">
        <v>496</v>
      </c>
      <c r="H50" s="330" t="s">
        <v>497</v>
      </c>
      <c r="I50" s="330" t="s">
        <v>498</v>
      </c>
      <c r="J50" s="330" t="s">
        <v>499</v>
      </c>
      <c r="K50" s="326" t="s">
        <v>500</v>
      </c>
    </row>
    <row r="51" spans="1:20" s="292" customFormat="1" ht="129.6" x14ac:dyDescent="0.55000000000000004">
      <c r="A51" s="494" t="s">
        <v>307</v>
      </c>
      <c r="B51" s="495" t="s">
        <v>24</v>
      </c>
      <c r="C51" s="490">
        <v>21</v>
      </c>
      <c r="D51" s="314" t="s">
        <v>308</v>
      </c>
      <c r="E51" s="487" t="s">
        <v>108</v>
      </c>
      <c r="F51" s="315">
        <v>20</v>
      </c>
      <c r="G51" s="316" t="s">
        <v>504</v>
      </c>
      <c r="H51" s="317" t="s">
        <v>501</v>
      </c>
      <c r="I51" s="317" t="s">
        <v>502</v>
      </c>
      <c r="J51" s="317" t="s">
        <v>505</v>
      </c>
      <c r="K51" s="317" t="s">
        <v>503</v>
      </c>
      <c r="T51" s="314"/>
    </row>
    <row r="52" spans="1:20" s="292" customFormat="1" ht="184.15" customHeight="1" x14ac:dyDescent="0.55000000000000004">
      <c r="A52" s="494"/>
      <c r="B52" s="495"/>
      <c r="C52" s="490"/>
      <c r="D52" s="301" t="s">
        <v>309</v>
      </c>
      <c r="E52" s="496"/>
      <c r="F52" s="74">
        <v>40</v>
      </c>
      <c r="G52" s="318" t="s">
        <v>506</v>
      </c>
      <c r="H52" s="319" t="s">
        <v>507</v>
      </c>
      <c r="I52" s="319" t="s">
        <v>508</v>
      </c>
      <c r="J52" s="319" t="s">
        <v>509</v>
      </c>
      <c r="K52" s="319" t="s">
        <v>510</v>
      </c>
      <c r="T52" s="295"/>
    </row>
    <row r="53" spans="1:20" s="292" customFormat="1" ht="190.15" customHeight="1" x14ac:dyDescent="0.55000000000000004">
      <c r="A53" s="494"/>
      <c r="B53" s="495" t="s">
        <v>24</v>
      </c>
      <c r="C53" s="490">
        <v>35</v>
      </c>
      <c r="D53" s="320" t="s">
        <v>310</v>
      </c>
      <c r="E53" s="488"/>
      <c r="F53" s="321">
        <v>60</v>
      </c>
      <c r="G53" s="322"/>
      <c r="H53" s="323" t="s">
        <v>512</v>
      </c>
      <c r="I53" s="323" t="s">
        <v>513</v>
      </c>
      <c r="J53" s="323" t="s">
        <v>514</v>
      </c>
      <c r="K53" s="323" t="s">
        <v>511</v>
      </c>
      <c r="T53" s="301"/>
    </row>
    <row r="54" spans="1:20" s="292" customFormat="1" ht="162" x14ac:dyDescent="0.55000000000000004">
      <c r="A54" s="494"/>
      <c r="B54" s="495" t="s">
        <v>24</v>
      </c>
      <c r="C54" s="490">
        <v>36</v>
      </c>
      <c r="D54" s="309" t="s">
        <v>311</v>
      </c>
      <c r="E54" s="489"/>
      <c r="F54" s="324">
        <v>80</v>
      </c>
      <c r="G54" s="331"/>
      <c r="H54" s="326" t="s">
        <v>515</v>
      </c>
      <c r="I54" s="326" t="s">
        <v>516</v>
      </c>
      <c r="J54" s="326" t="s">
        <v>517</v>
      </c>
      <c r="K54" s="326" t="s">
        <v>518</v>
      </c>
      <c r="T54" s="320"/>
    </row>
    <row r="55" spans="1:20" s="38" customFormat="1" ht="244.9" customHeight="1" x14ac:dyDescent="0.55000000000000004">
      <c r="A55" s="364" t="s">
        <v>312</v>
      </c>
      <c r="B55" s="479" t="s">
        <v>24</v>
      </c>
      <c r="C55" s="164">
        <v>22</v>
      </c>
      <c r="D55" s="275" t="s">
        <v>313</v>
      </c>
      <c r="E55" s="480"/>
      <c r="F55" s="18">
        <v>15</v>
      </c>
      <c r="G55" s="276" t="s">
        <v>336</v>
      </c>
      <c r="H55" s="277" t="s">
        <v>337</v>
      </c>
      <c r="I55" s="277" t="s">
        <v>338</v>
      </c>
      <c r="J55" s="277" t="s">
        <v>339</v>
      </c>
      <c r="K55" s="277" t="s">
        <v>340</v>
      </c>
      <c r="T55" s="22"/>
    </row>
    <row r="56" spans="1:20" s="38" customFormat="1" ht="259.2" x14ac:dyDescent="0.55000000000000004">
      <c r="A56" s="365"/>
      <c r="B56" s="479"/>
      <c r="C56" s="164">
        <v>23</v>
      </c>
      <c r="D56" s="274" t="s">
        <v>315</v>
      </c>
      <c r="E56" s="481"/>
      <c r="F56" s="30">
        <v>10</v>
      </c>
      <c r="G56" s="270"/>
      <c r="H56" s="264"/>
      <c r="I56" s="273" t="s">
        <v>333</v>
      </c>
      <c r="J56" s="273" t="s">
        <v>334</v>
      </c>
      <c r="K56" s="273" t="s">
        <v>335</v>
      </c>
    </row>
    <row r="57" spans="1:20" s="38" customFormat="1" ht="270" customHeight="1" x14ac:dyDescent="0.55000000000000004">
      <c r="A57" s="365"/>
      <c r="B57" s="479"/>
      <c r="C57" s="164">
        <v>24</v>
      </c>
      <c r="D57" s="272" t="s">
        <v>316</v>
      </c>
      <c r="E57" s="481"/>
      <c r="F57" s="30">
        <v>10</v>
      </c>
      <c r="G57" s="280" t="s">
        <v>344</v>
      </c>
      <c r="H57" s="281" t="s">
        <v>345</v>
      </c>
      <c r="I57" s="189" t="s">
        <v>346</v>
      </c>
      <c r="J57" s="189" t="s">
        <v>347</v>
      </c>
      <c r="K57" s="189" t="s">
        <v>348</v>
      </c>
    </row>
    <row r="58" spans="1:20" s="38" customFormat="1" ht="162" x14ac:dyDescent="0.55000000000000004">
      <c r="A58" s="366"/>
      <c r="B58" s="479"/>
      <c r="C58" s="164">
        <v>25</v>
      </c>
      <c r="D58" s="278" t="s">
        <v>317</v>
      </c>
      <c r="E58" s="482"/>
      <c r="F58" s="23">
        <v>15</v>
      </c>
      <c r="G58" s="271"/>
      <c r="H58" s="156"/>
      <c r="I58" s="279" t="s">
        <v>342</v>
      </c>
      <c r="J58" s="279" t="s">
        <v>343</v>
      </c>
      <c r="K58" s="279" t="s">
        <v>341</v>
      </c>
    </row>
    <row r="59" spans="1:20" s="181" customFormat="1" ht="33" customHeight="1" x14ac:dyDescent="0.55000000000000004">
      <c r="A59" s="483" t="s">
        <v>50</v>
      </c>
      <c r="B59" s="369" t="s">
        <v>109</v>
      </c>
      <c r="C59" s="370"/>
      <c r="D59" s="370"/>
      <c r="E59" s="485"/>
      <c r="F59" s="180" t="s">
        <v>52</v>
      </c>
      <c r="G59" s="551"/>
      <c r="H59" s="551"/>
      <c r="I59" s="551"/>
      <c r="J59" s="551"/>
      <c r="K59" s="552"/>
    </row>
    <row r="60" spans="1:20" s="181" customFormat="1" ht="15.9" x14ac:dyDescent="0.55000000000000004">
      <c r="A60" s="484"/>
      <c r="B60" s="371"/>
      <c r="C60" s="372"/>
      <c r="D60" s="372"/>
      <c r="E60" s="486"/>
      <c r="F60" s="182">
        <v>120</v>
      </c>
      <c r="G60" s="553"/>
      <c r="H60" s="553"/>
      <c r="I60" s="553"/>
      <c r="J60" s="553"/>
      <c r="K60" s="554"/>
    </row>
    <row r="61" spans="1:20" s="38" customFormat="1" ht="178.2" x14ac:dyDescent="0.55000000000000004">
      <c r="A61" s="494" t="s">
        <v>330</v>
      </c>
      <c r="B61" s="524" t="s">
        <v>24</v>
      </c>
      <c r="C61" s="556">
        <v>26</v>
      </c>
      <c r="D61" s="183" t="s">
        <v>189</v>
      </c>
      <c r="E61" s="134"/>
      <c r="F61" s="137">
        <v>5</v>
      </c>
      <c r="G61" s="184"/>
      <c r="H61" s="184"/>
      <c r="I61" s="135" t="s">
        <v>190</v>
      </c>
      <c r="J61" s="135" t="s">
        <v>191</v>
      </c>
      <c r="K61" s="135" t="s">
        <v>192</v>
      </c>
    </row>
    <row r="62" spans="1:20" s="38" customFormat="1" ht="243" x14ac:dyDescent="0.55000000000000004">
      <c r="A62" s="494"/>
      <c r="B62" s="525"/>
      <c r="C62" s="557"/>
      <c r="D62" s="185" t="s">
        <v>193</v>
      </c>
      <c r="E62" s="142"/>
      <c r="F62" s="157">
        <v>5</v>
      </c>
      <c r="G62" s="179"/>
      <c r="H62" s="179"/>
      <c r="I62" s="156" t="s">
        <v>194</v>
      </c>
      <c r="J62" s="156" t="s">
        <v>195</v>
      </c>
      <c r="K62" s="156" t="s">
        <v>196</v>
      </c>
    </row>
    <row r="63" spans="1:20" s="38" customFormat="1" ht="194.4" x14ac:dyDescent="0.55000000000000004">
      <c r="A63" s="555"/>
      <c r="B63" s="162" t="s">
        <v>24</v>
      </c>
      <c r="C63" s="163">
        <v>27</v>
      </c>
      <c r="D63" s="164" t="s">
        <v>54</v>
      </c>
      <c r="E63" s="162"/>
      <c r="F63" s="165">
        <v>10</v>
      </c>
      <c r="G63" s="178"/>
      <c r="H63" s="179"/>
      <c r="I63" s="163" t="s">
        <v>197</v>
      </c>
      <c r="J63" s="163" t="s">
        <v>198</v>
      </c>
      <c r="K63" s="163" t="s">
        <v>199</v>
      </c>
    </row>
    <row r="64" spans="1:20" s="38" customFormat="1" ht="210.6" x14ac:dyDescent="0.55000000000000004">
      <c r="A64" s="555"/>
      <c r="B64" s="524" t="s">
        <v>24</v>
      </c>
      <c r="C64" s="524">
        <v>28</v>
      </c>
      <c r="D64" s="526" t="s">
        <v>200</v>
      </c>
      <c r="E64" s="134"/>
      <c r="F64" s="137">
        <v>10</v>
      </c>
      <c r="G64" s="184"/>
      <c r="H64" s="184"/>
      <c r="I64" s="135" t="s">
        <v>201</v>
      </c>
      <c r="J64" s="135" t="s">
        <v>202</v>
      </c>
      <c r="K64" s="135" t="s">
        <v>203</v>
      </c>
    </row>
    <row r="65" spans="1:11" s="38" customFormat="1" ht="275.39999999999998" x14ac:dyDescent="0.55000000000000004">
      <c r="A65" s="555"/>
      <c r="B65" s="525"/>
      <c r="C65" s="525"/>
      <c r="D65" s="527"/>
      <c r="E65" s="142"/>
      <c r="F65" s="157">
        <v>10</v>
      </c>
      <c r="G65" s="179"/>
      <c r="H65" s="179"/>
      <c r="I65" s="156" t="s">
        <v>204</v>
      </c>
      <c r="J65" s="156" t="s">
        <v>205</v>
      </c>
      <c r="K65" s="156" t="s">
        <v>206</v>
      </c>
    </row>
    <row r="66" spans="1:11" s="38" customFormat="1" ht="194.4" x14ac:dyDescent="0.55000000000000004">
      <c r="A66" s="555"/>
      <c r="B66" s="479" t="s">
        <v>24</v>
      </c>
      <c r="C66" s="479">
        <v>29</v>
      </c>
      <c r="D66" s="526" t="s">
        <v>207</v>
      </c>
      <c r="E66" s="134"/>
      <c r="F66" s="137">
        <v>5</v>
      </c>
      <c r="G66" s="184"/>
      <c r="H66" s="184"/>
      <c r="I66" s="135" t="s">
        <v>208</v>
      </c>
      <c r="J66" s="135" t="s">
        <v>209</v>
      </c>
      <c r="K66" s="135" t="s">
        <v>210</v>
      </c>
    </row>
    <row r="67" spans="1:11" s="38" customFormat="1" ht="178.2" x14ac:dyDescent="0.55000000000000004">
      <c r="A67" s="555"/>
      <c r="B67" s="479"/>
      <c r="C67" s="479"/>
      <c r="D67" s="527"/>
      <c r="E67" s="142"/>
      <c r="F67" s="157">
        <v>5</v>
      </c>
      <c r="G67" s="179"/>
      <c r="H67" s="179"/>
      <c r="I67" s="156" t="s">
        <v>211</v>
      </c>
      <c r="J67" s="156" t="s">
        <v>212</v>
      </c>
      <c r="K67" s="156" t="s">
        <v>213</v>
      </c>
    </row>
    <row r="68" spans="1:11" s="38" customFormat="1" ht="259.2" x14ac:dyDescent="0.55000000000000004">
      <c r="A68" s="555"/>
      <c r="B68" s="162" t="s">
        <v>24</v>
      </c>
      <c r="C68" s="163">
        <v>30</v>
      </c>
      <c r="D68" s="164" t="s">
        <v>57</v>
      </c>
      <c r="E68" s="162"/>
      <c r="F68" s="165">
        <v>5</v>
      </c>
      <c r="G68" s="178"/>
      <c r="H68" s="179"/>
      <c r="I68" s="163" t="s">
        <v>214</v>
      </c>
      <c r="J68" s="163" t="s">
        <v>215</v>
      </c>
      <c r="K68" s="163" t="s">
        <v>216</v>
      </c>
    </row>
    <row r="69" spans="1:11" s="38" customFormat="1" ht="48.6" x14ac:dyDescent="0.55000000000000004">
      <c r="A69" s="555"/>
      <c r="B69" s="162" t="s">
        <v>24</v>
      </c>
      <c r="C69" s="163">
        <v>31</v>
      </c>
      <c r="D69" s="164" t="s">
        <v>58</v>
      </c>
      <c r="E69" s="162"/>
      <c r="F69" s="165">
        <v>5</v>
      </c>
      <c r="G69" s="558" t="s">
        <v>217</v>
      </c>
      <c r="H69" s="559"/>
      <c r="I69" s="559"/>
      <c r="J69" s="559"/>
      <c r="K69" s="559"/>
    </row>
    <row r="70" spans="1:11" s="38" customFormat="1" ht="113.4" x14ac:dyDescent="0.55000000000000004">
      <c r="A70" s="494" t="s">
        <v>319</v>
      </c>
      <c r="B70" s="162" t="s">
        <v>24</v>
      </c>
      <c r="C70" s="163">
        <v>32</v>
      </c>
      <c r="D70" s="164" t="s">
        <v>59</v>
      </c>
      <c r="E70" s="162"/>
      <c r="F70" s="165">
        <v>10</v>
      </c>
      <c r="G70" s="177" t="s">
        <v>218</v>
      </c>
      <c r="H70" s="179"/>
      <c r="I70" s="163" t="s">
        <v>219</v>
      </c>
      <c r="J70" s="163" t="s">
        <v>220</v>
      </c>
      <c r="K70" s="163" t="s">
        <v>221</v>
      </c>
    </row>
    <row r="71" spans="1:11" s="38" customFormat="1" ht="194.4" x14ac:dyDescent="0.55000000000000004">
      <c r="A71" s="555"/>
      <c r="B71" s="162" t="s">
        <v>24</v>
      </c>
      <c r="C71" s="163">
        <v>33</v>
      </c>
      <c r="D71" s="164" t="s">
        <v>60</v>
      </c>
      <c r="E71" s="162"/>
      <c r="F71" s="165">
        <v>10</v>
      </c>
      <c r="G71" s="178"/>
      <c r="H71" s="163" t="s">
        <v>222</v>
      </c>
      <c r="I71" s="163" t="s">
        <v>519</v>
      </c>
      <c r="J71" s="163" t="s">
        <v>223</v>
      </c>
      <c r="K71" s="163" t="s">
        <v>224</v>
      </c>
    </row>
    <row r="72" spans="1:11" s="38" customFormat="1" ht="129.6" x14ac:dyDescent="0.55000000000000004">
      <c r="A72" s="555"/>
      <c r="B72" s="162" t="s">
        <v>24</v>
      </c>
      <c r="C72" s="163">
        <v>34</v>
      </c>
      <c r="D72" s="164" t="s">
        <v>61</v>
      </c>
      <c r="E72" s="162"/>
      <c r="F72" s="165">
        <v>10</v>
      </c>
      <c r="G72" s="186" t="s">
        <v>225</v>
      </c>
      <c r="H72" s="163" t="s">
        <v>226</v>
      </c>
      <c r="I72" s="163" t="s">
        <v>227</v>
      </c>
      <c r="J72" s="163" t="s">
        <v>228</v>
      </c>
      <c r="K72" s="163" t="s">
        <v>229</v>
      </c>
    </row>
    <row r="73" spans="1:11" s="38" customFormat="1" ht="226.8" x14ac:dyDescent="0.55000000000000004">
      <c r="A73" s="555"/>
      <c r="B73" s="162" t="s">
        <v>24</v>
      </c>
      <c r="C73" s="163">
        <v>35</v>
      </c>
      <c r="D73" s="164" t="s">
        <v>520</v>
      </c>
      <c r="E73" s="162"/>
      <c r="F73" s="165">
        <v>15</v>
      </c>
      <c r="G73" s="186" t="s">
        <v>230</v>
      </c>
      <c r="H73" s="163" t="s">
        <v>231</v>
      </c>
      <c r="I73" s="163" t="s">
        <v>232</v>
      </c>
      <c r="J73" s="163" t="s">
        <v>233</v>
      </c>
      <c r="K73" s="163" t="s">
        <v>234</v>
      </c>
    </row>
    <row r="74" spans="1:11" s="38" customFormat="1" ht="178.2" x14ac:dyDescent="0.55000000000000004">
      <c r="A74" s="555"/>
      <c r="B74" s="162" t="s">
        <v>24</v>
      </c>
      <c r="C74" s="163">
        <v>36</v>
      </c>
      <c r="D74" s="164" t="s">
        <v>110</v>
      </c>
      <c r="E74" s="162"/>
      <c r="F74" s="165">
        <v>20</v>
      </c>
      <c r="G74" s="177" t="s">
        <v>235</v>
      </c>
      <c r="H74" s="163" t="s">
        <v>236</v>
      </c>
      <c r="I74" s="163" t="s">
        <v>237</v>
      </c>
      <c r="J74" s="163" t="s">
        <v>238</v>
      </c>
      <c r="K74" s="163" t="s">
        <v>239</v>
      </c>
    </row>
    <row r="75" spans="1:11" s="38" customFormat="1" ht="145.80000000000001" x14ac:dyDescent="0.55000000000000004">
      <c r="A75" s="494" t="s">
        <v>320</v>
      </c>
      <c r="B75" s="162" t="s">
        <v>24</v>
      </c>
      <c r="C75" s="163">
        <v>37</v>
      </c>
      <c r="D75" s="164" t="s">
        <v>65</v>
      </c>
      <c r="E75" s="162"/>
      <c r="F75" s="165">
        <v>10</v>
      </c>
      <c r="G75" s="177" t="s">
        <v>240</v>
      </c>
      <c r="H75" s="163" t="s">
        <v>241</v>
      </c>
      <c r="I75" s="163" t="s">
        <v>242</v>
      </c>
      <c r="J75" s="163" t="s">
        <v>243</v>
      </c>
      <c r="K75" s="163" t="s">
        <v>244</v>
      </c>
    </row>
    <row r="76" spans="1:11" s="38" customFormat="1" ht="243" x14ac:dyDescent="0.55000000000000004">
      <c r="A76" s="555"/>
      <c r="B76" s="187" t="s">
        <v>24</v>
      </c>
      <c r="C76" s="188">
        <v>38</v>
      </c>
      <c r="D76" s="189" t="s">
        <v>349</v>
      </c>
      <c r="E76" s="162"/>
      <c r="F76" s="165">
        <v>10</v>
      </c>
      <c r="G76" s="282" t="s">
        <v>350</v>
      </c>
      <c r="H76" s="188" t="s">
        <v>351</v>
      </c>
      <c r="I76" s="188" t="s">
        <v>352</v>
      </c>
      <c r="J76" s="188" t="s">
        <v>353</v>
      </c>
      <c r="K76" s="188" t="s">
        <v>354</v>
      </c>
    </row>
    <row r="77" spans="1:11" s="38" customFormat="1" ht="275.39999999999998" x14ac:dyDescent="0.55000000000000004">
      <c r="A77" s="555"/>
      <c r="B77" s="162" t="s">
        <v>24</v>
      </c>
      <c r="C77" s="163">
        <v>39</v>
      </c>
      <c r="D77" s="189" t="s">
        <v>355</v>
      </c>
      <c r="E77" s="162"/>
      <c r="F77" s="165">
        <v>10</v>
      </c>
      <c r="G77" s="282" t="s">
        <v>356</v>
      </c>
      <c r="H77" s="188" t="s">
        <v>357</v>
      </c>
      <c r="I77" s="188" t="s">
        <v>358</v>
      </c>
      <c r="J77" s="188" t="s">
        <v>359</v>
      </c>
      <c r="K77" s="163" t="s">
        <v>245</v>
      </c>
    </row>
    <row r="78" spans="1:11" s="191" customFormat="1" ht="31.8" x14ac:dyDescent="0.55000000000000004">
      <c r="A78" s="560" t="s">
        <v>66</v>
      </c>
      <c r="B78" s="561" t="s">
        <v>67</v>
      </c>
      <c r="C78" s="562"/>
      <c r="D78" s="562"/>
      <c r="E78" s="563"/>
      <c r="F78" s="190" t="s">
        <v>52</v>
      </c>
      <c r="G78" s="551"/>
      <c r="H78" s="551"/>
      <c r="I78" s="551"/>
      <c r="J78" s="551"/>
      <c r="K78" s="552"/>
    </row>
    <row r="79" spans="1:11" s="191" customFormat="1" ht="15.9" x14ac:dyDescent="0.55000000000000004">
      <c r="A79" s="560"/>
      <c r="B79" s="564"/>
      <c r="C79" s="565"/>
      <c r="D79" s="565"/>
      <c r="E79" s="566"/>
      <c r="F79" s="192">
        <f>SUM(F80:F92)</f>
        <v>100</v>
      </c>
      <c r="G79" s="553"/>
      <c r="H79" s="553"/>
      <c r="I79" s="553"/>
      <c r="J79" s="553"/>
      <c r="K79" s="554"/>
    </row>
    <row r="80" spans="1:11" s="38" customFormat="1" ht="145.80000000000001" x14ac:dyDescent="0.55000000000000004">
      <c r="A80" s="567" t="s">
        <v>321</v>
      </c>
      <c r="B80" s="162" t="s">
        <v>24</v>
      </c>
      <c r="C80" s="163">
        <v>40</v>
      </c>
      <c r="D80" s="189" t="s">
        <v>360</v>
      </c>
      <c r="E80" s="162"/>
      <c r="F80" s="165">
        <v>5</v>
      </c>
      <c r="G80" s="282" t="s">
        <v>361</v>
      </c>
      <c r="H80" s="188" t="s">
        <v>362</v>
      </c>
      <c r="I80" s="188" t="s">
        <v>363</v>
      </c>
      <c r="J80" s="188" t="s">
        <v>364</v>
      </c>
      <c r="K80" s="188" t="s">
        <v>365</v>
      </c>
    </row>
    <row r="81" spans="1:11" s="38" customFormat="1" ht="194.4" x14ac:dyDescent="0.55000000000000004">
      <c r="A81" s="568"/>
      <c r="B81" s="162" t="s">
        <v>24</v>
      </c>
      <c r="C81" s="163">
        <v>41</v>
      </c>
      <c r="D81" s="164" t="s">
        <v>111</v>
      </c>
      <c r="E81" s="162"/>
      <c r="F81" s="165">
        <v>5</v>
      </c>
      <c r="G81" s="178"/>
      <c r="H81" s="179"/>
      <c r="I81" s="188" t="s">
        <v>366</v>
      </c>
      <c r="J81" s="188" t="s">
        <v>367</v>
      </c>
      <c r="K81" s="188" t="s">
        <v>368</v>
      </c>
    </row>
    <row r="82" spans="1:11" s="38" customFormat="1" ht="97.2" x14ac:dyDescent="0.55000000000000004">
      <c r="A82" s="568"/>
      <c r="B82" s="162" t="s">
        <v>24</v>
      </c>
      <c r="C82" s="163">
        <v>42</v>
      </c>
      <c r="D82" s="164" t="s">
        <v>112</v>
      </c>
      <c r="E82" s="162"/>
      <c r="F82" s="165">
        <v>10</v>
      </c>
      <c r="G82" s="178"/>
      <c r="H82" s="179"/>
      <c r="I82" s="188" t="s">
        <v>369</v>
      </c>
      <c r="J82" s="188" t="s">
        <v>370</v>
      </c>
      <c r="K82" s="188" t="s">
        <v>371</v>
      </c>
    </row>
    <row r="83" spans="1:11" s="38" customFormat="1" ht="145.80000000000001" x14ac:dyDescent="0.55000000000000004">
      <c r="A83" s="568"/>
      <c r="B83" s="162" t="s">
        <v>24</v>
      </c>
      <c r="C83" s="163">
        <v>43</v>
      </c>
      <c r="D83" s="164" t="s">
        <v>372</v>
      </c>
      <c r="E83" s="162"/>
      <c r="F83" s="165">
        <v>10</v>
      </c>
      <c r="G83" s="178"/>
      <c r="H83" s="179"/>
      <c r="I83" s="188" t="s">
        <v>374</v>
      </c>
      <c r="J83" s="188" t="s">
        <v>375</v>
      </c>
      <c r="K83" s="188" t="s">
        <v>373</v>
      </c>
    </row>
    <row r="84" spans="1:11" s="38" customFormat="1" ht="129.6" x14ac:dyDescent="0.55000000000000004">
      <c r="A84" s="567" t="s">
        <v>405</v>
      </c>
      <c r="B84" s="162" t="s">
        <v>24</v>
      </c>
      <c r="C84" s="163">
        <v>44</v>
      </c>
      <c r="D84" s="164" t="s">
        <v>376</v>
      </c>
      <c r="E84" s="162"/>
      <c r="F84" s="165">
        <v>10</v>
      </c>
      <c r="G84" s="178"/>
      <c r="H84" s="179"/>
      <c r="I84" s="179"/>
      <c r="J84" s="188" t="s">
        <v>377</v>
      </c>
      <c r="K84" s="188" t="s">
        <v>378</v>
      </c>
    </row>
    <row r="85" spans="1:11" s="38" customFormat="1" ht="129.6" x14ac:dyDescent="0.55000000000000004">
      <c r="A85" s="568"/>
      <c r="B85" s="162" t="s">
        <v>24</v>
      </c>
      <c r="C85" s="163">
        <v>45</v>
      </c>
      <c r="D85" s="164" t="s">
        <v>379</v>
      </c>
      <c r="E85" s="162"/>
      <c r="F85" s="165">
        <v>10</v>
      </c>
      <c r="G85" s="178"/>
      <c r="H85" s="179"/>
      <c r="I85" s="179"/>
      <c r="J85" s="188" t="s">
        <v>380</v>
      </c>
      <c r="K85" s="188" t="s">
        <v>381</v>
      </c>
    </row>
    <row r="86" spans="1:11" s="38" customFormat="1" ht="113.4" x14ac:dyDescent="0.55000000000000004">
      <c r="A86" s="568"/>
      <c r="B86" s="162" t="s">
        <v>24</v>
      </c>
      <c r="C86" s="163">
        <v>46</v>
      </c>
      <c r="D86" s="164" t="s">
        <v>69</v>
      </c>
      <c r="E86" s="162"/>
      <c r="F86" s="165">
        <v>10</v>
      </c>
      <c r="G86" s="178"/>
      <c r="H86" s="179"/>
      <c r="I86" s="179"/>
      <c r="J86" s="188" t="s">
        <v>382</v>
      </c>
      <c r="K86" s="163" t="s">
        <v>246</v>
      </c>
    </row>
    <row r="87" spans="1:11" s="38" customFormat="1" ht="113.4" x14ac:dyDescent="0.55000000000000004">
      <c r="A87" s="568"/>
      <c r="B87" s="162" t="s">
        <v>24</v>
      </c>
      <c r="C87" s="163">
        <v>47</v>
      </c>
      <c r="D87" s="164" t="s">
        <v>70</v>
      </c>
      <c r="E87" s="162"/>
      <c r="F87" s="165">
        <v>10</v>
      </c>
      <c r="G87" s="178"/>
      <c r="H87" s="179"/>
      <c r="I87" s="179"/>
      <c r="J87" s="163" t="s">
        <v>247</v>
      </c>
      <c r="K87" s="163" t="s">
        <v>248</v>
      </c>
    </row>
    <row r="88" spans="1:11" s="38" customFormat="1" ht="178.2" x14ac:dyDescent="0.55000000000000004">
      <c r="A88" s="567" t="s">
        <v>323</v>
      </c>
      <c r="B88" s="162" t="s">
        <v>24</v>
      </c>
      <c r="C88" s="163">
        <v>48</v>
      </c>
      <c r="D88" s="164" t="s">
        <v>113</v>
      </c>
      <c r="E88" s="162"/>
      <c r="F88" s="165">
        <v>5</v>
      </c>
      <c r="G88" s="178"/>
      <c r="H88" s="179"/>
      <c r="I88" s="188" t="s">
        <v>383</v>
      </c>
      <c r="J88" s="188" t="s">
        <v>384</v>
      </c>
      <c r="K88" s="188" t="s">
        <v>385</v>
      </c>
    </row>
    <row r="89" spans="1:11" s="38" customFormat="1" ht="194.4" x14ac:dyDescent="0.55000000000000004">
      <c r="A89" s="567"/>
      <c r="B89" s="162" t="s">
        <v>24</v>
      </c>
      <c r="C89" s="163">
        <v>49</v>
      </c>
      <c r="D89" s="164" t="s">
        <v>71</v>
      </c>
      <c r="E89" s="162"/>
      <c r="F89" s="165">
        <v>5</v>
      </c>
      <c r="G89" s="283"/>
      <c r="H89" s="189"/>
      <c r="I89" s="189" t="s">
        <v>386</v>
      </c>
      <c r="J89" s="189" t="s">
        <v>387</v>
      </c>
      <c r="K89" s="189" t="s">
        <v>388</v>
      </c>
    </row>
    <row r="90" spans="1:11" s="38" customFormat="1" ht="113.4" x14ac:dyDescent="0.55000000000000004">
      <c r="A90" s="567"/>
      <c r="B90" s="162" t="s">
        <v>24</v>
      </c>
      <c r="C90" s="163">
        <v>50</v>
      </c>
      <c r="D90" s="164" t="s">
        <v>526</v>
      </c>
      <c r="E90" s="162"/>
      <c r="F90" s="165">
        <v>10</v>
      </c>
      <c r="G90" s="178"/>
      <c r="H90" s="179"/>
      <c r="I90" s="193" t="s">
        <v>389</v>
      </c>
      <c r="J90" s="163" t="s">
        <v>390</v>
      </c>
      <c r="K90" s="163" t="s">
        <v>391</v>
      </c>
    </row>
    <row r="91" spans="1:11" s="38" customFormat="1" ht="129.6" x14ac:dyDescent="0.55000000000000004">
      <c r="A91" s="567"/>
      <c r="B91" s="162" t="s">
        <v>24</v>
      </c>
      <c r="C91" s="163">
        <v>51</v>
      </c>
      <c r="D91" s="164" t="s">
        <v>72</v>
      </c>
      <c r="E91" s="162"/>
      <c r="F91" s="165">
        <v>5</v>
      </c>
      <c r="G91" s="178"/>
      <c r="H91" s="179"/>
      <c r="I91" s="163" t="s">
        <v>392</v>
      </c>
      <c r="J91" s="163" t="s">
        <v>249</v>
      </c>
      <c r="K91" s="163" t="s">
        <v>250</v>
      </c>
    </row>
    <row r="92" spans="1:11" s="38" customFormat="1" ht="145.80000000000001" x14ac:dyDescent="0.55000000000000004">
      <c r="A92" s="567"/>
      <c r="B92" s="162" t="s">
        <v>24</v>
      </c>
      <c r="C92" s="163">
        <v>52</v>
      </c>
      <c r="D92" s="164" t="s">
        <v>73</v>
      </c>
      <c r="E92" s="162"/>
      <c r="F92" s="165">
        <v>5</v>
      </c>
      <c r="G92" s="178"/>
      <c r="H92" s="179"/>
      <c r="I92" s="179"/>
      <c r="J92" s="163" t="s">
        <v>251</v>
      </c>
      <c r="K92" s="163" t="s">
        <v>393</v>
      </c>
    </row>
    <row r="93" spans="1:11" s="181" customFormat="1" ht="31.8" x14ac:dyDescent="0.55000000000000004">
      <c r="A93" s="569" t="s">
        <v>74</v>
      </c>
      <c r="B93" s="463" t="s">
        <v>114</v>
      </c>
      <c r="C93" s="464"/>
      <c r="D93" s="464"/>
      <c r="E93" s="571"/>
      <c r="F93" s="194" t="s">
        <v>52</v>
      </c>
      <c r="G93" s="551"/>
      <c r="H93" s="551"/>
      <c r="I93" s="551"/>
      <c r="J93" s="551"/>
      <c r="K93" s="552"/>
    </row>
    <row r="94" spans="1:11" s="181" customFormat="1" ht="17.25" customHeight="1" x14ac:dyDescent="0.55000000000000004">
      <c r="A94" s="570"/>
      <c r="B94" s="465"/>
      <c r="C94" s="466"/>
      <c r="D94" s="466"/>
      <c r="E94" s="572"/>
      <c r="F94" s="195">
        <f>SUM(F95:F104,F111)</f>
        <v>150</v>
      </c>
      <c r="G94" s="553"/>
      <c r="H94" s="553"/>
      <c r="I94" s="553"/>
      <c r="J94" s="553"/>
      <c r="K94" s="554"/>
    </row>
    <row r="95" spans="1:11" s="38" customFormat="1" ht="97.2" x14ac:dyDescent="0.55000000000000004">
      <c r="A95" s="567" t="s">
        <v>324</v>
      </c>
      <c r="B95" s="162" t="s">
        <v>24</v>
      </c>
      <c r="C95" s="163">
        <v>53</v>
      </c>
      <c r="D95" s="164" t="s">
        <v>76</v>
      </c>
      <c r="E95" s="162"/>
      <c r="F95" s="165">
        <v>10</v>
      </c>
      <c r="G95" s="178"/>
      <c r="H95" s="179"/>
      <c r="I95" s="163" t="s">
        <v>252</v>
      </c>
      <c r="J95" s="163" t="s">
        <v>253</v>
      </c>
      <c r="K95" s="163" t="s">
        <v>254</v>
      </c>
    </row>
    <row r="96" spans="1:11" s="38" customFormat="1" ht="162" x14ac:dyDescent="0.55000000000000004">
      <c r="A96" s="568"/>
      <c r="B96" s="162" t="s">
        <v>24</v>
      </c>
      <c r="C96" s="163">
        <v>54</v>
      </c>
      <c r="D96" s="164" t="s">
        <v>77</v>
      </c>
      <c r="E96" s="162"/>
      <c r="F96" s="165">
        <v>10</v>
      </c>
      <c r="G96" s="178"/>
      <c r="H96" s="179"/>
      <c r="I96" s="163" t="s">
        <v>255</v>
      </c>
      <c r="J96" s="163" t="s">
        <v>256</v>
      </c>
      <c r="K96" s="163" t="s">
        <v>257</v>
      </c>
    </row>
    <row r="97" spans="1:11" s="38" customFormat="1" ht="162" x14ac:dyDescent="0.55000000000000004">
      <c r="A97" s="568"/>
      <c r="B97" s="162" t="s">
        <v>24</v>
      </c>
      <c r="C97" s="163">
        <v>55</v>
      </c>
      <c r="D97" s="164" t="s">
        <v>78</v>
      </c>
      <c r="E97" s="162"/>
      <c r="F97" s="165">
        <v>10</v>
      </c>
      <c r="G97" s="178"/>
      <c r="H97" s="179"/>
      <c r="I97" s="179"/>
      <c r="J97" s="179"/>
      <c r="K97" s="163" t="s">
        <v>258</v>
      </c>
    </row>
    <row r="98" spans="1:11" s="38" customFormat="1" ht="81" x14ac:dyDescent="0.55000000000000004">
      <c r="A98" s="568"/>
      <c r="B98" s="162" t="s">
        <v>24</v>
      </c>
      <c r="C98" s="163">
        <v>56</v>
      </c>
      <c r="D98" s="164" t="s">
        <v>79</v>
      </c>
      <c r="E98" s="162"/>
      <c r="F98" s="165">
        <v>10</v>
      </c>
      <c r="G98" s="178"/>
      <c r="H98" s="163" t="s">
        <v>259</v>
      </c>
      <c r="I98" s="163" t="s">
        <v>260</v>
      </c>
      <c r="J98" s="163" t="s">
        <v>261</v>
      </c>
      <c r="K98" s="163" t="s">
        <v>262</v>
      </c>
    </row>
    <row r="99" spans="1:11" s="38" customFormat="1" ht="81" x14ac:dyDescent="0.55000000000000004">
      <c r="A99" s="494" t="s">
        <v>406</v>
      </c>
      <c r="B99" s="162" t="s">
        <v>24</v>
      </c>
      <c r="C99" s="163">
        <v>57</v>
      </c>
      <c r="D99" s="164" t="s">
        <v>115</v>
      </c>
      <c r="E99" s="162"/>
      <c r="F99" s="165">
        <v>10</v>
      </c>
      <c r="G99" s="178"/>
      <c r="H99" s="179"/>
      <c r="I99" s="188" t="s">
        <v>394</v>
      </c>
      <c r="J99" s="188" t="s">
        <v>395</v>
      </c>
      <c r="K99" s="188" t="s">
        <v>396</v>
      </c>
    </row>
    <row r="100" spans="1:11" s="38" customFormat="1" ht="129.6" x14ac:dyDescent="0.55000000000000004">
      <c r="A100" s="555"/>
      <c r="B100" s="162" t="s">
        <v>24</v>
      </c>
      <c r="C100" s="163">
        <v>58</v>
      </c>
      <c r="D100" s="164" t="s">
        <v>80</v>
      </c>
      <c r="E100" s="162"/>
      <c r="F100" s="165">
        <v>10</v>
      </c>
      <c r="G100" s="178"/>
      <c r="H100" s="179"/>
      <c r="I100" s="179"/>
      <c r="J100" s="179"/>
      <c r="K100" s="188" t="s">
        <v>397</v>
      </c>
    </row>
    <row r="101" spans="1:11" s="38" customFormat="1" ht="81" x14ac:dyDescent="0.55000000000000004">
      <c r="A101" s="555"/>
      <c r="B101" s="162" t="s">
        <v>24</v>
      </c>
      <c r="C101" s="163">
        <v>59</v>
      </c>
      <c r="D101" s="164" t="s">
        <v>81</v>
      </c>
      <c r="E101" s="162"/>
      <c r="F101" s="165">
        <v>10</v>
      </c>
      <c r="G101" s="178"/>
      <c r="H101" s="179"/>
      <c r="I101" s="188" t="s">
        <v>398</v>
      </c>
      <c r="J101" s="188" t="s">
        <v>399</v>
      </c>
      <c r="K101" s="188" t="s">
        <v>400</v>
      </c>
    </row>
    <row r="102" spans="1:11" s="38" customFormat="1" ht="32.4" x14ac:dyDescent="0.55000000000000004">
      <c r="A102" s="494" t="s">
        <v>407</v>
      </c>
      <c r="B102" s="162" t="s">
        <v>24</v>
      </c>
      <c r="C102" s="163">
        <v>60</v>
      </c>
      <c r="D102" s="164" t="s">
        <v>82</v>
      </c>
      <c r="E102" s="162"/>
      <c r="F102" s="165">
        <v>10</v>
      </c>
      <c r="G102" s="178"/>
      <c r="H102" s="179"/>
      <c r="I102" s="573" t="s">
        <v>263</v>
      </c>
      <c r="J102" s="573" t="s">
        <v>264</v>
      </c>
      <c r="K102" s="573" t="s">
        <v>265</v>
      </c>
    </row>
    <row r="103" spans="1:11" s="38" customFormat="1" ht="48.6" x14ac:dyDescent="0.55000000000000004">
      <c r="A103" s="555"/>
      <c r="B103" s="162" t="s">
        <v>24</v>
      </c>
      <c r="C103" s="163">
        <v>61</v>
      </c>
      <c r="D103" s="164" t="s">
        <v>116</v>
      </c>
      <c r="E103" s="162"/>
      <c r="F103" s="165">
        <v>10</v>
      </c>
      <c r="G103" s="178"/>
      <c r="H103" s="179"/>
      <c r="I103" s="573"/>
      <c r="J103" s="573"/>
      <c r="K103" s="573"/>
    </row>
    <row r="104" spans="1:11" s="38" customFormat="1" ht="97.2" x14ac:dyDescent="0.55000000000000004">
      <c r="A104" s="555"/>
      <c r="B104" s="162" t="s">
        <v>24</v>
      </c>
      <c r="C104" s="163">
        <v>62</v>
      </c>
      <c r="D104" s="164" t="s">
        <v>401</v>
      </c>
      <c r="E104" s="162"/>
      <c r="F104" s="165">
        <v>10</v>
      </c>
      <c r="G104" s="178"/>
      <c r="H104" s="179"/>
      <c r="I104" s="188" t="s">
        <v>402</v>
      </c>
      <c r="J104" s="188" t="s">
        <v>403</v>
      </c>
      <c r="K104" s="188" t="s">
        <v>404</v>
      </c>
    </row>
    <row r="105" spans="1:11" s="38" customFormat="1" ht="25" customHeight="1" x14ac:dyDescent="0.55000000000000004">
      <c r="A105" s="567" t="s">
        <v>328</v>
      </c>
      <c r="B105" s="479" t="s">
        <v>24</v>
      </c>
      <c r="C105" s="573">
        <v>63</v>
      </c>
      <c r="D105" s="164" t="s">
        <v>84</v>
      </c>
      <c r="E105" s="574" t="s">
        <v>118</v>
      </c>
      <c r="F105" s="165">
        <v>25</v>
      </c>
      <c r="G105" s="575" t="s">
        <v>408</v>
      </c>
      <c r="H105" s="576"/>
      <c r="I105" s="576"/>
      <c r="J105" s="576"/>
      <c r="K105" s="577"/>
    </row>
    <row r="106" spans="1:11" s="38" customFormat="1" ht="25" customHeight="1" x14ac:dyDescent="0.55000000000000004">
      <c r="A106" s="567"/>
      <c r="B106" s="479"/>
      <c r="C106" s="573"/>
      <c r="D106" s="164" t="s">
        <v>86</v>
      </c>
      <c r="E106" s="574"/>
      <c r="F106" s="165">
        <v>10</v>
      </c>
      <c r="G106" s="578"/>
      <c r="H106" s="579"/>
      <c r="I106" s="579"/>
      <c r="J106" s="579"/>
      <c r="K106" s="580"/>
    </row>
    <row r="107" spans="1:11" s="38" customFormat="1" ht="25" customHeight="1" x14ac:dyDescent="0.55000000000000004">
      <c r="A107" s="567"/>
      <c r="B107" s="479"/>
      <c r="C107" s="573"/>
      <c r="D107" s="164" t="s">
        <v>84</v>
      </c>
      <c r="E107" s="574" t="s">
        <v>119</v>
      </c>
      <c r="F107" s="165">
        <v>35</v>
      </c>
      <c r="G107" s="578"/>
      <c r="H107" s="579"/>
      <c r="I107" s="579"/>
      <c r="J107" s="579"/>
      <c r="K107" s="580"/>
    </row>
    <row r="108" spans="1:11" s="38" customFormat="1" ht="25" customHeight="1" x14ac:dyDescent="0.55000000000000004">
      <c r="A108" s="567"/>
      <c r="B108" s="479"/>
      <c r="C108" s="573"/>
      <c r="D108" s="164" t="s">
        <v>88</v>
      </c>
      <c r="E108" s="574"/>
      <c r="F108" s="165">
        <v>15</v>
      </c>
      <c r="G108" s="578"/>
      <c r="H108" s="579"/>
      <c r="I108" s="579"/>
      <c r="J108" s="579"/>
      <c r="K108" s="580"/>
    </row>
    <row r="109" spans="1:11" s="38" customFormat="1" ht="25" customHeight="1" x14ac:dyDescent="0.55000000000000004">
      <c r="A109" s="567"/>
      <c r="B109" s="479"/>
      <c r="C109" s="573"/>
      <c r="D109" s="164" t="s">
        <v>84</v>
      </c>
      <c r="E109" s="574" t="s">
        <v>89</v>
      </c>
      <c r="F109" s="165">
        <v>45</v>
      </c>
      <c r="G109" s="578"/>
      <c r="H109" s="579"/>
      <c r="I109" s="579"/>
      <c r="J109" s="579"/>
      <c r="K109" s="580"/>
    </row>
    <row r="110" spans="1:11" s="38" customFormat="1" ht="25" customHeight="1" x14ac:dyDescent="0.55000000000000004">
      <c r="A110" s="567"/>
      <c r="B110" s="479"/>
      <c r="C110" s="573"/>
      <c r="D110" s="164" t="s">
        <v>88</v>
      </c>
      <c r="E110" s="574"/>
      <c r="F110" s="165">
        <v>20</v>
      </c>
      <c r="G110" s="578"/>
      <c r="H110" s="579"/>
      <c r="I110" s="579"/>
      <c r="J110" s="579"/>
      <c r="K110" s="580"/>
    </row>
    <row r="111" spans="1:11" s="38" customFormat="1" ht="25" customHeight="1" x14ac:dyDescent="0.55000000000000004">
      <c r="A111" s="567"/>
      <c r="B111" s="479"/>
      <c r="C111" s="573"/>
      <c r="D111" s="164" t="s">
        <v>84</v>
      </c>
      <c r="E111" s="574" t="s">
        <v>90</v>
      </c>
      <c r="F111" s="196">
        <v>50</v>
      </c>
      <c r="G111" s="578"/>
      <c r="H111" s="579"/>
      <c r="I111" s="579"/>
      <c r="J111" s="579"/>
      <c r="K111" s="580"/>
    </row>
    <row r="112" spans="1:11" s="38" customFormat="1" ht="25" customHeight="1" x14ac:dyDescent="0.55000000000000004">
      <c r="A112" s="567"/>
      <c r="B112" s="479"/>
      <c r="C112" s="573"/>
      <c r="D112" s="164" t="s">
        <v>88</v>
      </c>
      <c r="E112" s="574"/>
      <c r="F112" s="165">
        <v>25</v>
      </c>
      <c r="G112" s="581"/>
      <c r="H112" s="582"/>
      <c r="I112" s="582"/>
      <c r="J112" s="582"/>
      <c r="K112" s="583"/>
    </row>
  </sheetData>
  <mergeCells count="78">
    <mergeCell ref="A105:A112"/>
    <mergeCell ref="B105:B112"/>
    <mergeCell ref="C105:C112"/>
    <mergeCell ref="E105:E106"/>
    <mergeCell ref="G105:K112"/>
    <mergeCell ref="E107:E108"/>
    <mergeCell ref="E109:E110"/>
    <mergeCell ref="E111:E112"/>
    <mergeCell ref="G93:K94"/>
    <mergeCell ref="A95:A98"/>
    <mergeCell ref="A99:A101"/>
    <mergeCell ref="A102:A104"/>
    <mergeCell ref="I102:I103"/>
    <mergeCell ref="J102:J103"/>
    <mergeCell ref="K102:K103"/>
    <mergeCell ref="A80:A83"/>
    <mergeCell ref="A84:A87"/>
    <mergeCell ref="A88:A92"/>
    <mergeCell ref="A93:A94"/>
    <mergeCell ref="B93:E94"/>
    <mergeCell ref="A70:A74"/>
    <mergeCell ref="A75:A77"/>
    <mergeCell ref="A78:A79"/>
    <mergeCell ref="B78:E79"/>
    <mergeCell ref="G78:K79"/>
    <mergeCell ref="G59:K60"/>
    <mergeCell ref="A61:A69"/>
    <mergeCell ref="B61:B62"/>
    <mergeCell ref="C61:C62"/>
    <mergeCell ref="B64:B65"/>
    <mergeCell ref="C64:C65"/>
    <mergeCell ref="D64:D65"/>
    <mergeCell ref="B66:B67"/>
    <mergeCell ref="C66:C67"/>
    <mergeCell ref="D66:D67"/>
    <mergeCell ref="G69:K69"/>
    <mergeCell ref="A26:A27"/>
    <mergeCell ref="B26:E27"/>
    <mergeCell ref="D4:K4"/>
    <mergeCell ref="A13:A25"/>
    <mergeCell ref="B13:B23"/>
    <mergeCell ref="C13:C23"/>
    <mergeCell ref="E13:E23"/>
    <mergeCell ref="G13:G14"/>
    <mergeCell ref="G15:G17"/>
    <mergeCell ref="H15:H17"/>
    <mergeCell ref="J15:J17"/>
    <mergeCell ref="G18:G19"/>
    <mergeCell ref="H18:H19"/>
    <mergeCell ref="J18:J19"/>
    <mergeCell ref="C39:C42"/>
    <mergeCell ref="E39:E42"/>
    <mergeCell ref="G26:K26"/>
    <mergeCell ref="B24:B25"/>
    <mergeCell ref="C24:C25"/>
    <mergeCell ref="E24:E25"/>
    <mergeCell ref="A28:A30"/>
    <mergeCell ref="A31:A33"/>
    <mergeCell ref="A34:A38"/>
    <mergeCell ref="A39:A42"/>
    <mergeCell ref="B39:B42"/>
    <mergeCell ref="E48:E50"/>
    <mergeCell ref="C43:C47"/>
    <mergeCell ref="E43:E47"/>
    <mergeCell ref="A51:A54"/>
    <mergeCell ref="B51:B54"/>
    <mergeCell ref="C51:C54"/>
    <mergeCell ref="E51:E54"/>
    <mergeCell ref="A43:A47"/>
    <mergeCell ref="B43:B47"/>
    <mergeCell ref="A48:A50"/>
    <mergeCell ref="B48:B50"/>
    <mergeCell ref="C48:C50"/>
    <mergeCell ref="A55:A58"/>
    <mergeCell ref="B55:B58"/>
    <mergeCell ref="E55:E58"/>
    <mergeCell ref="A59:A60"/>
    <mergeCell ref="B59:E60"/>
  </mergeCells>
  <pageMargins left="0.7" right="0.7" top="0.75" bottom="0.75" header="0.3" footer="0.3"/>
  <pageSetup scale="48" orientation="portrait" r:id="rId1"/>
  <colBreaks count="1" manualBreakCount="1">
    <brk id="1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pageSetUpPr fitToPage="1"/>
  </sheetPr>
  <dimension ref="A1:AH127"/>
  <sheetViews>
    <sheetView zoomScale="90" zoomScaleNormal="90" workbookViewId="0">
      <selection activeCell="A109" sqref="A109:A116"/>
    </sheetView>
  </sheetViews>
  <sheetFormatPr defaultColWidth="8.83984375" defaultRowHeight="12.9" x14ac:dyDescent="0.55000000000000004"/>
  <cols>
    <col min="1" max="1" width="8.68359375" style="215" customWidth="1"/>
    <col min="2" max="2" width="7.578125" style="214" customWidth="1"/>
    <col min="3" max="3" width="4.68359375" style="210" customWidth="1"/>
    <col min="4" max="4" width="53.68359375" style="210" customWidth="1"/>
    <col min="5" max="5" width="7.83984375" style="211" customWidth="1"/>
    <col min="6" max="7" width="9.26171875" style="36" customWidth="1"/>
    <col min="8" max="9" width="0" style="212" hidden="1" customWidth="1"/>
    <col min="10" max="33" width="0" style="213" hidden="1" customWidth="1"/>
    <col min="34" max="16384" width="8.83984375" style="213"/>
  </cols>
  <sheetData>
    <row r="1" spans="1:34" x14ac:dyDescent="0.55000000000000004">
      <c r="A1" s="38" t="s">
        <v>98</v>
      </c>
      <c r="B1" s="75"/>
      <c r="C1" s="75"/>
    </row>
    <row r="2" spans="1:34" x14ac:dyDescent="0.55000000000000004">
      <c r="A2" s="75" t="s">
        <v>282</v>
      </c>
    </row>
    <row r="4" spans="1:34" ht="19.8" x14ac:dyDescent="0.55000000000000004">
      <c r="A4" s="587" t="s">
        <v>283</v>
      </c>
      <c r="B4" s="587"/>
      <c r="C4" s="587"/>
      <c r="D4" s="587"/>
      <c r="E4" s="587"/>
    </row>
    <row r="5" spans="1:34" ht="18" customHeight="1" x14ac:dyDescent="0.55000000000000004"/>
    <row r="6" spans="1:34" ht="17.25" customHeight="1" x14ac:dyDescent="0.55000000000000004">
      <c r="A6" s="36"/>
      <c r="C6" s="40"/>
      <c r="D6" s="216" t="s">
        <v>273</v>
      </c>
      <c r="E6" s="217">
        <v>200</v>
      </c>
      <c r="F6" s="588" t="s">
        <v>274</v>
      </c>
      <c r="G6" s="589"/>
      <c r="H6" s="585"/>
      <c r="I6" s="586"/>
      <c r="J6" s="585"/>
      <c r="K6" s="586"/>
      <c r="L6" s="585"/>
      <c r="M6" s="586"/>
      <c r="N6" s="585"/>
      <c r="O6" s="586"/>
      <c r="P6" s="585"/>
      <c r="Q6" s="586"/>
      <c r="R6" s="585"/>
      <c r="S6" s="586"/>
      <c r="T6" s="585"/>
      <c r="U6" s="586"/>
      <c r="V6" s="585"/>
      <c r="W6" s="586"/>
      <c r="X6" s="585"/>
      <c r="Y6" s="586"/>
      <c r="Z6" s="585"/>
      <c r="AA6" s="586"/>
      <c r="AB6" s="585"/>
      <c r="AC6" s="586"/>
      <c r="AD6" s="585"/>
      <c r="AE6" s="586"/>
      <c r="AF6" s="585"/>
      <c r="AG6" s="586"/>
    </row>
    <row r="7" spans="1:34" s="222" customFormat="1" ht="17.25" customHeight="1" x14ac:dyDescent="0.55000000000000004">
      <c r="A7" s="38"/>
      <c r="B7" s="218"/>
      <c r="C7" s="219"/>
      <c r="D7" s="220" t="s">
        <v>275</v>
      </c>
      <c r="E7" s="221">
        <v>300</v>
      </c>
      <c r="F7" s="588"/>
      <c r="G7" s="589"/>
      <c r="H7" s="585"/>
      <c r="I7" s="586"/>
      <c r="J7" s="585"/>
      <c r="K7" s="586"/>
      <c r="L7" s="585"/>
      <c r="M7" s="586"/>
      <c r="N7" s="585"/>
      <c r="O7" s="586"/>
      <c r="P7" s="585"/>
      <c r="Q7" s="586"/>
      <c r="R7" s="585"/>
      <c r="S7" s="586"/>
      <c r="T7" s="585"/>
      <c r="U7" s="586"/>
      <c r="V7" s="585"/>
      <c r="W7" s="586"/>
      <c r="X7" s="585"/>
      <c r="Y7" s="586"/>
      <c r="Z7" s="585"/>
      <c r="AA7" s="586"/>
      <c r="AB7" s="585"/>
      <c r="AC7" s="586"/>
      <c r="AD7" s="585"/>
      <c r="AE7" s="586"/>
      <c r="AF7" s="585"/>
      <c r="AG7" s="586"/>
    </row>
    <row r="8" spans="1:34" ht="17.25" customHeight="1" x14ac:dyDescent="0.55000000000000004">
      <c r="A8" s="591"/>
      <c r="B8" s="223"/>
      <c r="C8" s="40"/>
      <c r="D8" s="220" t="s">
        <v>276</v>
      </c>
      <c r="E8" s="221">
        <v>400</v>
      </c>
      <c r="F8" s="588"/>
      <c r="G8" s="589"/>
      <c r="H8" s="585"/>
      <c r="I8" s="586"/>
      <c r="J8" s="585"/>
      <c r="K8" s="586"/>
      <c r="L8" s="585"/>
      <c r="M8" s="586"/>
      <c r="N8" s="585"/>
      <c r="O8" s="586"/>
      <c r="P8" s="585"/>
      <c r="Q8" s="586"/>
      <c r="R8" s="585"/>
      <c r="S8" s="586"/>
      <c r="T8" s="585"/>
      <c r="U8" s="586"/>
      <c r="V8" s="585"/>
      <c r="W8" s="586"/>
      <c r="X8" s="585"/>
      <c r="Y8" s="586"/>
      <c r="Z8" s="585"/>
      <c r="AA8" s="586"/>
      <c r="AB8" s="585"/>
      <c r="AC8" s="586"/>
      <c r="AD8" s="585"/>
      <c r="AE8" s="586"/>
      <c r="AF8" s="585"/>
      <c r="AG8" s="586"/>
    </row>
    <row r="9" spans="1:34" ht="17.25" customHeight="1" x14ac:dyDescent="0.55000000000000004">
      <c r="A9" s="591"/>
      <c r="B9" s="42"/>
      <c r="C9" s="40"/>
      <c r="D9" s="220" t="s">
        <v>277</v>
      </c>
      <c r="E9" s="221">
        <v>600</v>
      </c>
      <c r="F9" s="592" t="s">
        <v>278</v>
      </c>
      <c r="G9" s="593" t="s">
        <v>279</v>
      </c>
      <c r="H9" s="590"/>
      <c r="I9" s="584"/>
      <c r="J9" s="590"/>
      <c r="K9" s="584"/>
      <c r="L9" s="590"/>
      <c r="M9" s="584"/>
      <c r="N9" s="590"/>
      <c r="O9" s="584"/>
      <c r="P9" s="590"/>
      <c r="Q9" s="584"/>
      <c r="R9" s="590"/>
      <c r="S9" s="584"/>
      <c r="T9" s="590"/>
      <c r="U9" s="584"/>
      <c r="V9" s="590"/>
      <c r="W9" s="584"/>
      <c r="X9" s="590"/>
      <c r="Y9" s="584"/>
      <c r="Z9" s="590"/>
      <c r="AA9" s="584"/>
      <c r="AB9" s="590"/>
      <c r="AC9" s="584"/>
      <c r="AD9" s="590"/>
      <c r="AE9" s="584"/>
      <c r="AF9" s="590"/>
      <c r="AG9" s="584"/>
    </row>
    <row r="10" spans="1:34" ht="17.25" customHeight="1" x14ac:dyDescent="0.55000000000000004">
      <c r="A10" s="591"/>
      <c r="B10" s="42"/>
      <c r="C10" s="40"/>
      <c r="D10" s="220" t="s">
        <v>97</v>
      </c>
      <c r="E10" s="221">
        <v>800</v>
      </c>
      <c r="F10" s="592"/>
      <c r="G10" s="593"/>
      <c r="H10" s="590"/>
      <c r="I10" s="584"/>
      <c r="J10" s="590"/>
      <c r="K10" s="584"/>
      <c r="L10" s="590"/>
      <c r="M10" s="584"/>
      <c r="N10" s="590"/>
      <c r="O10" s="584"/>
      <c r="P10" s="590"/>
      <c r="Q10" s="584"/>
      <c r="R10" s="590"/>
      <c r="S10" s="584"/>
      <c r="T10" s="590"/>
      <c r="U10" s="584"/>
      <c r="V10" s="590"/>
      <c r="W10" s="584"/>
      <c r="X10" s="590"/>
      <c r="Y10" s="584"/>
      <c r="Z10" s="590"/>
      <c r="AA10" s="584"/>
      <c r="AB10" s="590"/>
      <c r="AC10" s="584"/>
      <c r="AD10" s="590"/>
      <c r="AE10" s="584"/>
      <c r="AF10" s="590"/>
      <c r="AG10" s="584"/>
    </row>
    <row r="11" spans="1:34" ht="21.75" customHeight="1" x14ac:dyDescent="0.55000000000000004">
      <c r="A11" s="591"/>
      <c r="B11" s="42"/>
      <c r="C11" s="40"/>
      <c r="D11" s="220" t="s">
        <v>280</v>
      </c>
      <c r="E11" s="221">
        <v>900</v>
      </c>
      <c r="F11" s="596"/>
      <c r="G11" s="596"/>
      <c r="H11" s="594"/>
      <c r="I11" s="594"/>
      <c r="J11" s="594"/>
      <c r="K11" s="594"/>
      <c r="L11" s="594"/>
      <c r="M11" s="594"/>
      <c r="N11" s="594"/>
      <c r="O11" s="594"/>
      <c r="P11" s="594"/>
      <c r="Q11" s="594"/>
      <c r="R11" s="594"/>
      <c r="S11" s="594"/>
      <c r="T11" s="594"/>
      <c r="U11" s="594"/>
      <c r="V11" s="594"/>
      <c r="W11" s="594"/>
      <c r="X11" s="594"/>
      <c r="Y11" s="594"/>
      <c r="Z11" s="594"/>
      <c r="AA11" s="594"/>
      <c r="AB11" s="594"/>
      <c r="AC11" s="594"/>
      <c r="AD11" s="594"/>
      <c r="AE11" s="594"/>
      <c r="AF11" s="594"/>
      <c r="AG11" s="594"/>
    </row>
    <row r="12" spans="1:34" ht="20.25" customHeight="1" x14ac:dyDescent="0.55000000000000004">
      <c r="A12" s="591"/>
      <c r="C12" s="40"/>
      <c r="D12" s="224" t="s">
        <v>281</v>
      </c>
      <c r="E12" s="225">
        <v>1000</v>
      </c>
      <c r="F12" s="596"/>
      <c r="G12" s="597"/>
      <c r="H12" s="595"/>
      <c r="I12" s="595"/>
      <c r="J12" s="595"/>
      <c r="K12" s="595"/>
      <c r="L12" s="595"/>
      <c r="M12" s="595"/>
      <c r="N12" s="595"/>
      <c r="O12" s="595"/>
      <c r="P12" s="595"/>
      <c r="Q12" s="595"/>
      <c r="R12" s="595"/>
      <c r="S12" s="595"/>
      <c r="T12" s="595"/>
      <c r="U12" s="595"/>
      <c r="V12" s="595"/>
      <c r="W12" s="595"/>
      <c r="X12" s="595"/>
      <c r="Y12" s="595"/>
      <c r="Z12" s="595"/>
      <c r="AA12" s="595"/>
      <c r="AB12" s="595"/>
      <c r="AC12" s="595"/>
      <c r="AD12" s="595"/>
      <c r="AE12" s="595"/>
      <c r="AF12" s="595"/>
      <c r="AG12" s="595"/>
    </row>
    <row r="13" spans="1:34" s="15" customFormat="1" ht="30" customHeight="1" x14ac:dyDescent="0.55000000000000004">
      <c r="A13" s="403" t="s">
        <v>20</v>
      </c>
      <c r="B13" s="405" t="s">
        <v>21</v>
      </c>
      <c r="C13" s="406"/>
      <c r="D13" s="406"/>
      <c r="E13" s="406"/>
      <c r="F13" s="14" t="s">
        <v>22</v>
      </c>
      <c r="G13" s="598" t="s">
        <v>274</v>
      </c>
      <c r="H13" s="599"/>
      <c r="I13" s="599"/>
      <c r="J13" s="599"/>
      <c r="K13" s="599"/>
      <c r="L13" s="599"/>
      <c r="M13" s="599"/>
      <c r="N13" s="599"/>
      <c r="O13" s="599"/>
      <c r="P13" s="599"/>
      <c r="Q13" s="599"/>
      <c r="R13" s="599"/>
      <c r="S13" s="599"/>
      <c r="T13" s="599"/>
      <c r="U13" s="599"/>
      <c r="V13" s="599"/>
      <c r="W13" s="599"/>
      <c r="X13" s="599"/>
      <c r="Y13" s="599"/>
      <c r="Z13" s="599"/>
      <c r="AA13" s="599"/>
      <c r="AB13" s="599"/>
      <c r="AC13" s="599"/>
      <c r="AD13" s="599"/>
      <c r="AE13" s="599"/>
      <c r="AF13" s="599"/>
      <c r="AG13" s="599"/>
      <c r="AH13" s="599"/>
    </row>
    <row r="14" spans="1:34" s="15" customFormat="1" ht="52.5" customHeight="1" x14ac:dyDescent="0.55000000000000004">
      <c r="A14" s="404"/>
      <c r="B14" s="407"/>
      <c r="C14" s="408"/>
      <c r="D14" s="408"/>
      <c r="E14" s="408"/>
      <c r="F14" s="16">
        <v>180</v>
      </c>
      <c r="G14" s="230" t="s">
        <v>278</v>
      </c>
      <c r="H14" s="230"/>
      <c r="I14" s="230"/>
      <c r="J14" s="230"/>
      <c r="K14" s="230"/>
      <c r="L14" s="230"/>
      <c r="M14" s="230"/>
      <c r="N14" s="230"/>
      <c r="O14" s="230"/>
      <c r="P14" s="230"/>
      <c r="Q14" s="230"/>
      <c r="R14" s="230"/>
      <c r="S14" s="230"/>
      <c r="T14" s="230"/>
      <c r="U14" s="230"/>
      <c r="V14" s="230"/>
      <c r="W14" s="230"/>
      <c r="X14" s="230"/>
      <c r="Y14" s="230"/>
      <c r="Z14" s="230"/>
      <c r="AA14" s="230"/>
      <c r="AB14" s="230"/>
      <c r="AC14" s="230"/>
      <c r="AD14" s="230"/>
      <c r="AE14" s="230"/>
      <c r="AF14" s="230"/>
      <c r="AG14" s="230"/>
      <c r="AH14" s="230" t="s">
        <v>279</v>
      </c>
    </row>
    <row r="15" spans="1:34" s="19" customFormat="1" ht="30" customHeight="1" x14ac:dyDescent="0.55000000000000004">
      <c r="A15" s="393" t="s">
        <v>23</v>
      </c>
      <c r="B15" s="394" t="s">
        <v>24</v>
      </c>
      <c r="C15" s="353">
        <v>1</v>
      </c>
      <c r="D15" s="17" t="s">
        <v>266</v>
      </c>
      <c r="E15" s="409" t="s">
        <v>25</v>
      </c>
      <c r="F15" s="231">
        <v>20</v>
      </c>
      <c r="G15" s="248"/>
      <c r="H15" s="248"/>
      <c r="I15" s="248"/>
      <c r="J15" s="248"/>
      <c r="K15" s="248"/>
      <c r="L15" s="248"/>
      <c r="M15" s="248"/>
      <c r="N15" s="248"/>
      <c r="O15" s="248"/>
      <c r="P15" s="248"/>
      <c r="Q15" s="248"/>
      <c r="R15" s="248"/>
      <c r="S15" s="248"/>
      <c r="T15" s="248"/>
      <c r="U15" s="248"/>
      <c r="V15" s="248"/>
      <c r="W15" s="248"/>
      <c r="X15" s="248"/>
      <c r="Y15" s="248"/>
      <c r="Z15" s="248"/>
      <c r="AA15" s="248"/>
      <c r="AB15" s="248"/>
      <c r="AC15" s="248"/>
      <c r="AD15" s="248"/>
      <c r="AE15" s="248"/>
      <c r="AF15" s="248"/>
      <c r="AG15" s="248"/>
      <c r="AH15" s="248"/>
    </row>
    <row r="16" spans="1:34" s="19" customFormat="1" ht="30" customHeight="1" x14ac:dyDescent="0.55000000000000004">
      <c r="A16" s="393"/>
      <c r="B16" s="395"/>
      <c r="C16" s="354"/>
      <c r="D16" s="20" t="s">
        <v>267</v>
      </c>
      <c r="E16" s="410"/>
      <c r="F16" s="232">
        <v>70</v>
      </c>
      <c r="G16" s="248"/>
      <c r="H16" s="248"/>
      <c r="I16" s="248"/>
      <c r="J16" s="248"/>
      <c r="K16" s="248"/>
      <c r="L16" s="248"/>
      <c r="M16" s="248"/>
      <c r="N16" s="248"/>
      <c r="O16" s="248"/>
      <c r="P16" s="248"/>
      <c r="Q16" s="248"/>
      <c r="R16" s="248"/>
      <c r="S16" s="248"/>
      <c r="T16" s="248"/>
      <c r="U16" s="248"/>
      <c r="V16" s="248"/>
      <c r="W16" s="248"/>
      <c r="X16" s="248"/>
      <c r="Y16" s="248"/>
      <c r="Z16" s="248"/>
      <c r="AA16" s="248"/>
      <c r="AB16" s="248"/>
      <c r="AC16" s="248"/>
      <c r="AD16" s="248"/>
      <c r="AE16" s="248"/>
      <c r="AF16" s="248"/>
      <c r="AG16" s="248"/>
      <c r="AH16" s="248"/>
    </row>
    <row r="17" spans="1:34" s="19" customFormat="1" ht="30" customHeight="1" x14ac:dyDescent="0.55000000000000004">
      <c r="A17" s="393"/>
      <c r="B17" s="411" t="s">
        <v>24</v>
      </c>
      <c r="C17" s="413">
        <v>2</v>
      </c>
      <c r="D17" s="20" t="s">
        <v>26</v>
      </c>
      <c r="E17" s="415" t="s">
        <v>25</v>
      </c>
      <c r="F17" s="232">
        <v>25</v>
      </c>
      <c r="G17" s="248"/>
      <c r="H17" s="248"/>
      <c r="I17" s="248"/>
      <c r="J17" s="248"/>
      <c r="K17" s="248"/>
      <c r="L17" s="248"/>
      <c r="M17" s="248"/>
      <c r="N17" s="248"/>
      <c r="O17" s="248"/>
      <c r="P17" s="248"/>
      <c r="Q17" s="248"/>
      <c r="R17" s="248"/>
      <c r="S17" s="248"/>
      <c r="T17" s="248"/>
      <c r="U17" s="248"/>
      <c r="V17" s="248"/>
      <c r="W17" s="248"/>
      <c r="X17" s="248"/>
      <c r="Y17" s="248"/>
      <c r="Z17" s="248"/>
      <c r="AA17" s="248"/>
      <c r="AB17" s="248"/>
      <c r="AC17" s="248"/>
      <c r="AD17" s="248"/>
      <c r="AE17" s="248"/>
      <c r="AF17" s="248"/>
      <c r="AG17" s="248"/>
      <c r="AH17" s="248"/>
    </row>
    <row r="18" spans="1:34" s="19" customFormat="1" ht="30" customHeight="1" x14ac:dyDescent="0.55000000000000004">
      <c r="A18" s="393"/>
      <c r="B18" s="412"/>
      <c r="C18" s="414"/>
      <c r="D18" s="22" t="s">
        <v>27</v>
      </c>
      <c r="E18" s="416"/>
      <c r="F18" s="233">
        <v>40</v>
      </c>
      <c r="G18" s="248"/>
      <c r="H18" s="248"/>
      <c r="I18" s="248"/>
      <c r="J18" s="248"/>
      <c r="K18" s="248"/>
      <c r="L18" s="248"/>
      <c r="M18" s="248"/>
      <c r="N18" s="248"/>
      <c r="O18" s="248"/>
      <c r="P18" s="248"/>
      <c r="Q18" s="248"/>
      <c r="R18" s="248"/>
      <c r="S18" s="248"/>
      <c r="T18" s="248"/>
      <c r="U18" s="248"/>
      <c r="V18" s="248"/>
      <c r="W18" s="248"/>
      <c r="X18" s="248"/>
      <c r="Y18" s="248"/>
      <c r="Z18" s="248"/>
      <c r="AA18" s="248"/>
      <c r="AB18" s="248"/>
      <c r="AC18" s="248"/>
      <c r="AD18" s="248"/>
      <c r="AE18" s="248"/>
      <c r="AF18" s="248"/>
      <c r="AG18" s="248"/>
      <c r="AH18" s="248"/>
    </row>
    <row r="19" spans="1:34" s="19" customFormat="1" ht="30" customHeight="1" x14ac:dyDescent="0.55000000000000004">
      <c r="A19" s="393" t="s">
        <v>28</v>
      </c>
      <c r="B19" s="24" t="s">
        <v>24</v>
      </c>
      <c r="C19" s="25">
        <v>3</v>
      </c>
      <c r="D19" s="17" t="s">
        <v>29</v>
      </c>
      <c r="E19" s="26"/>
      <c r="F19" s="231">
        <v>5</v>
      </c>
      <c r="G19" s="248"/>
      <c r="H19" s="248"/>
      <c r="I19" s="248"/>
      <c r="J19" s="248"/>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8"/>
      <c r="AH19" s="248"/>
    </row>
    <row r="20" spans="1:34" s="19" customFormat="1" ht="30" customHeight="1" x14ac:dyDescent="0.55000000000000004">
      <c r="A20" s="425"/>
      <c r="B20" s="27" t="s">
        <v>24</v>
      </c>
      <c r="C20" s="28">
        <v>4</v>
      </c>
      <c r="D20" s="22" t="s">
        <v>30</v>
      </c>
      <c r="E20" s="29"/>
      <c r="F20" s="233">
        <v>10</v>
      </c>
      <c r="G20" s="248"/>
      <c r="H20" s="248"/>
      <c r="I20" s="248"/>
      <c r="J20" s="248"/>
      <c r="K20" s="248"/>
      <c r="L20" s="248"/>
      <c r="M20" s="248"/>
      <c r="N20" s="248"/>
      <c r="O20" s="248"/>
      <c r="P20" s="248"/>
      <c r="Q20" s="248"/>
      <c r="R20" s="248"/>
      <c r="S20" s="248"/>
      <c r="T20" s="248"/>
      <c r="U20" s="248"/>
      <c r="V20" s="248"/>
      <c r="W20" s="248"/>
      <c r="X20" s="248"/>
      <c r="Y20" s="248"/>
      <c r="Z20" s="248"/>
      <c r="AA20" s="248"/>
      <c r="AB20" s="248"/>
      <c r="AC20" s="248"/>
      <c r="AD20" s="248"/>
      <c r="AE20" s="248"/>
      <c r="AF20" s="248"/>
      <c r="AG20" s="248"/>
      <c r="AH20" s="248"/>
    </row>
    <row r="21" spans="1:34" s="19" customFormat="1" ht="30" customHeight="1" x14ac:dyDescent="0.55000000000000004">
      <c r="A21" s="393" t="s">
        <v>31</v>
      </c>
      <c r="B21" s="394" t="s">
        <v>24</v>
      </c>
      <c r="C21" s="353">
        <v>5</v>
      </c>
      <c r="D21" s="17" t="s">
        <v>32</v>
      </c>
      <c r="E21" s="417" t="s">
        <v>25</v>
      </c>
      <c r="F21" s="231">
        <v>5</v>
      </c>
      <c r="G21" s="248"/>
      <c r="H21" s="248"/>
      <c r="I21" s="248"/>
      <c r="J21" s="248"/>
      <c r="K21" s="248"/>
      <c r="L21" s="248"/>
      <c r="M21" s="248"/>
      <c r="N21" s="248"/>
      <c r="O21" s="248"/>
      <c r="P21" s="248"/>
      <c r="Q21" s="248"/>
      <c r="R21" s="248"/>
      <c r="S21" s="248"/>
      <c r="T21" s="248"/>
      <c r="U21" s="248"/>
      <c r="V21" s="248"/>
      <c r="W21" s="248"/>
      <c r="X21" s="248"/>
      <c r="Y21" s="248"/>
      <c r="Z21" s="248"/>
      <c r="AA21" s="248"/>
      <c r="AB21" s="248"/>
      <c r="AC21" s="248"/>
      <c r="AD21" s="248"/>
      <c r="AE21" s="248"/>
      <c r="AF21" s="248"/>
      <c r="AG21" s="248"/>
      <c r="AH21" s="248"/>
    </row>
    <row r="22" spans="1:34" s="19" customFormat="1" ht="30" customHeight="1" x14ac:dyDescent="0.55000000000000004">
      <c r="A22" s="393"/>
      <c r="B22" s="395"/>
      <c r="C22" s="354"/>
      <c r="D22" s="20" t="s">
        <v>33</v>
      </c>
      <c r="E22" s="415"/>
      <c r="F22" s="234">
        <v>10</v>
      </c>
      <c r="G22" s="248"/>
      <c r="H22" s="248"/>
      <c r="I22" s="248"/>
      <c r="J22" s="248"/>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row>
    <row r="23" spans="1:34" s="19" customFormat="1" ht="30" customHeight="1" x14ac:dyDescent="0.55000000000000004">
      <c r="A23" s="393"/>
      <c r="B23" s="396"/>
      <c r="C23" s="355"/>
      <c r="D23" s="22" t="s">
        <v>34</v>
      </c>
      <c r="E23" s="416"/>
      <c r="F23" s="233">
        <v>15</v>
      </c>
      <c r="G23" s="248"/>
      <c r="H23" s="248"/>
      <c r="I23" s="248"/>
      <c r="J23" s="248"/>
      <c r="K23" s="248"/>
      <c r="L23" s="248"/>
      <c r="M23" s="248"/>
      <c r="N23" s="248"/>
      <c r="O23" s="248"/>
      <c r="P23" s="248"/>
      <c r="Q23" s="248"/>
      <c r="R23" s="248"/>
      <c r="S23" s="248"/>
      <c r="T23" s="248"/>
      <c r="U23" s="248"/>
      <c r="V23" s="248"/>
      <c r="W23" s="248"/>
      <c r="X23" s="248"/>
      <c r="Y23" s="248"/>
      <c r="Z23" s="248"/>
      <c r="AA23" s="248"/>
      <c r="AB23" s="248"/>
      <c r="AC23" s="248"/>
      <c r="AD23" s="248"/>
      <c r="AE23" s="248"/>
      <c r="AF23" s="248"/>
      <c r="AG23" s="248"/>
      <c r="AH23" s="248"/>
    </row>
    <row r="24" spans="1:34" s="199" customFormat="1" ht="38.1" customHeight="1" x14ac:dyDescent="0.55000000000000004">
      <c r="A24" s="419" t="s">
        <v>35</v>
      </c>
      <c r="B24" s="420" t="s">
        <v>24</v>
      </c>
      <c r="C24" s="422">
        <v>6</v>
      </c>
      <c r="D24" s="17" t="s">
        <v>268</v>
      </c>
      <c r="E24" s="409" t="s">
        <v>25</v>
      </c>
      <c r="F24" s="231">
        <v>5</v>
      </c>
      <c r="G24" s="249"/>
      <c r="H24" s="249"/>
      <c r="I24" s="249"/>
      <c r="J24" s="249"/>
      <c r="K24" s="249"/>
      <c r="L24" s="249"/>
      <c r="M24" s="249"/>
      <c r="N24" s="249"/>
      <c r="O24" s="249"/>
      <c r="P24" s="249"/>
      <c r="Q24" s="249"/>
      <c r="R24" s="249"/>
      <c r="S24" s="249"/>
      <c r="T24" s="249"/>
      <c r="U24" s="249"/>
      <c r="V24" s="249"/>
      <c r="W24" s="249"/>
      <c r="X24" s="249"/>
      <c r="Y24" s="249"/>
      <c r="Z24" s="249"/>
      <c r="AA24" s="249"/>
      <c r="AB24" s="249"/>
      <c r="AC24" s="249"/>
      <c r="AD24" s="249"/>
      <c r="AE24" s="249"/>
      <c r="AF24" s="249"/>
      <c r="AG24" s="249"/>
      <c r="AH24" s="249"/>
    </row>
    <row r="25" spans="1:34" s="199" customFormat="1" ht="38.1" customHeight="1" x14ac:dyDescent="0.55000000000000004">
      <c r="A25" s="419"/>
      <c r="B25" s="421"/>
      <c r="C25" s="423"/>
      <c r="D25" s="22" t="s">
        <v>269</v>
      </c>
      <c r="E25" s="424"/>
      <c r="F25" s="233">
        <v>10</v>
      </c>
      <c r="G25" s="249"/>
      <c r="H25" s="249"/>
      <c r="I25" s="249"/>
      <c r="J25" s="249"/>
      <c r="K25" s="249"/>
      <c r="L25" s="249"/>
      <c r="M25" s="249"/>
      <c r="N25" s="249"/>
      <c r="O25" s="249"/>
      <c r="P25" s="249"/>
      <c r="Q25" s="249"/>
      <c r="R25" s="249"/>
      <c r="S25" s="249"/>
      <c r="T25" s="249"/>
      <c r="U25" s="249"/>
      <c r="V25" s="249"/>
      <c r="W25" s="249"/>
      <c r="X25" s="249"/>
      <c r="Y25" s="249"/>
      <c r="Z25" s="249"/>
      <c r="AA25" s="249"/>
      <c r="AB25" s="249"/>
      <c r="AC25" s="249"/>
      <c r="AD25" s="249"/>
      <c r="AE25" s="249"/>
      <c r="AF25" s="249"/>
      <c r="AG25" s="249"/>
      <c r="AH25" s="249"/>
    </row>
    <row r="26" spans="1:34" s="32" customFormat="1" ht="25" customHeight="1" x14ac:dyDescent="0.55000000000000004">
      <c r="A26" s="31" t="s">
        <v>36</v>
      </c>
      <c r="C26" s="228"/>
      <c r="G26" s="250"/>
      <c r="H26" s="250"/>
      <c r="I26" s="251"/>
      <c r="J26" s="252"/>
      <c r="K26" s="252"/>
      <c r="L26" s="252"/>
      <c r="M26" s="252"/>
      <c r="N26" s="252"/>
      <c r="O26" s="250"/>
      <c r="P26" s="250"/>
      <c r="Q26" s="250"/>
      <c r="R26" s="250"/>
      <c r="S26" s="250"/>
      <c r="T26" s="250"/>
      <c r="U26" s="250"/>
      <c r="V26" s="250"/>
      <c r="W26" s="250"/>
      <c r="X26" s="250"/>
      <c r="Y26" s="250"/>
      <c r="Z26" s="250"/>
      <c r="AA26" s="250"/>
      <c r="AB26" s="250"/>
      <c r="AC26" s="250"/>
      <c r="AD26" s="250"/>
      <c r="AE26" s="250"/>
      <c r="AF26" s="250"/>
      <c r="AG26" s="250"/>
      <c r="AH26" s="250"/>
    </row>
    <row r="27" spans="1:34" s="19" customFormat="1" ht="15.3" x14ac:dyDescent="0.55000000000000004">
      <c r="A27" s="35" t="s">
        <v>37</v>
      </c>
      <c r="B27" s="36"/>
      <c r="C27" s="40"/>
      <c r="D27" s="36"/>
      <c r="G27" s="248"/>
      <c r="H27" s="248"/>
      <c r="I27" s="253"/>
      <c r="J27" s="253"/>
      <c r="K27" s="253"/>
      <c r="L27" s="253"/>
      <c r="M27" s="253"/>
      <c r="N27" s="253"/>
      <c r="O27" s="248"/>
      <c r="P27" s="248"/>
      <c r="Q27" s="248"/>
      <c r="R27" s="248"/>
      <c r="S27" s="248"/>
      <c r="T27" s="248"/>
      <c r="U27" s="248"/>
      <c r="V27" s="248"/>
      <c r="W27" s="248"/>
      <c r="X27" s="248"/>
      <c r="Y27" s="248"/>
      <c r="Z27" s="248"/>
      <c r="AA27" s="248"/>
      <c r="AB27" s="248"/>
      <c r="AC27" s="248"/>
      <c r="AD27" s="248"/>
      <c r="AE27" s="248"/>
      <c r="AF27" s="248"/>
      <c r="AG27" s="248"/>
      <c r="AH27" s="248"/>
    </row>
    <row r="28" spans="1:34" s="19" customFormat="1" ht="15.3" x14ac:dyDescent="0.55000000000000004">
      <c r="A28" s="38" t="s">
        <v>38</v>
      </c>
      <c r="B28" s="36"/>
      <c r="C28" s="40"/>
      <c r="E28" s="39"/>
      <c r="G28" s="248"/>
      <c r="H28" s="248"/>
      <c r="I28" s="253"/>
      <c r="J28" s="253"/>
      <c r="K28" s="253"/>
      <c r="L28" s="253"/>
      <c r="M28" s="253"/>
      <c r="N28" s="253"/>
      <c r="O28" s="248"/>
      <c r="P28" s="248"/>
      <c r="Q28" s="248"/>
      <c r="R28" s="248"/>
      <c r="S28" s="248"/>
      <c r="T28" s="248"/>
      <c r="U28" s="248"/>
      <c r="V28" s="248"/>
      <c r="W28" s="248"/>
      <c r="X28" s="248"/>
      <c r="Y28" s="248"/>
      <c r="Z28" s="248"/>
      <c r="AA28" s="248"/>
      <c r="AB28" s="248"/>
      <c r="AC28" s="248"/>
      <c r="AD28" s="248"/>
      <c r="AE28" s="248"/>
      <c r="AF28" s="248"/>
      <c r="AG28" s="248"/>
      <c r="AH28" s="248"/>
    </row>
    <row r="29" spans="1:34" s="19" customFormat="1" ht="15.3" x14ac:dyDescent="0.55000000000000004">
      <c r="A29" s="35" t="s">
        <v>39</v>
      </c>
      <c r="B29" s="36"/>
      <c r="C29" s="40"/>
      <c r="D29" s="40"/>
      <c r="G29" s="248"/>
      <c r="H29" s="248"/>
      <c r="I29" s="253"/>
      <c r="J29" s="253"/>
      <c r="K29" s="253"/>
      <c r="L29" s="253"/>
      <c r="M29" s="253"/>
      <c r="N29" s="253"/>
      <c r="O29" s="248"/>
      <c r="P29" s="248"/>
      <c r="Q29" s="248"/>
      <c r="R29" s="248"/>
      <c r="S29" s="248"/>
      <c r="T29" s="248"/>
      <c r="U29" s="248"/>
      <c r="V29" s="248"/>
      <c r="W29" s="248"/>
      <c r="X29" s="248"/>
      <c r="Y29" s="248"/>
      <c r="Z29" s="248"/>
      <c r="AA29" s="248"/>
      <c r="AB29" s="248"/>
      <c r="AC29" s="248"/>
      <c r="AD29" s="248"/>
      <c r="AE29" s="248"/>
      <c r="AF29" s="248"/>
      <c r="AG29" s="248"/>
      <c r="AH29" s="248"/>
    </row>
    <row r="30" spans="1:34" s="19" customFormat="1" ht="15.3" x14ac:dyDescent="0.55000000000000004">
      <c r="A30" s="41" t="s">
        <v>40</v>
      </c>
      <c r="B30" s="41"/>
      <c r="C30" s="229"/>
      <c r="D30" s="42"/>
      <c r="E30" s="39"/>
      <c r="G30" s="248"/>
      <c r="H30" s="248"/>
      <c r="I30" s="253"/>
      <c r="J30" s="253"/>
      <c r="K30" s="253"/>
      <c r="L30" s="253"/>
      <c r="M30" s="253"/>
      <c r="N30" s="253"/>
      <c r="O30" s="248"/>
      <c r="P30" s="248"/>
      <c r="Q30" s="248"/>
      <c r="R30" s="248"/>
      <c r="S30" s="248"/>
      <c r="T30" s="248"/>
      <c r="U30" s="248"/>
      <c r="V30" s="248"/>
      <c r="W30" s="248"/>
      <c r="X30" s="248"/>
      <c r="Y30" s="248"/>
      <c r="Z30" s="248"/>
      <c r="AA30" s="248"/>
      <c r="AB30" s="248"/>
      <c r="AC30" s="248"/>
      <c r="AD30" s="248"/>
      <c r="AE30" s="248"/>
      <c r="AF30" s="248"/>
      <c r="AG30" s="248"/>
      <c r="AH30" s="248"/>
    </row>
    <row r="31" spans="1:34" s="19" customFormat="1" ht="15.3" x14ac:dyDescent="0.55000000000000004">
      <c r="A31" s="41" t="s">
        <v>41</v>
      </c>
      <c r="B31" s="36"/>
      <c r="C31" s="40"/>
      <c r="D31" s="42"/>
      <c r="E31" s="39"/>
      <c r="G31" s="248"/>
      <c r="H31" s="248"/>
      <c r="I31" s="253"/>
      <c r="J31" s="253"/>
      <c r="K31" s="253"/>
      <c r="L31" s="253"/>
      <c r="M31" s="253"/>
      <c r="N31" s="253"/>
      <c r="O31" s="248"/>
      <c r="P31" s="248"/>
      <c r="Q31" s="248"/>
      <c r="R31" s="248"/>
      <c r="S31" s="248"/>
      <c r="T31" s="248"/>
      <c r="U31" s="248"/>
      <c r="V31" s="248"/>
      <c r="W31" s="248"/>
      <c r="X31" s="248"/>
      <c r="Y31" s="248"/>
      <c r="Z31" s="248"/>
      <c r="AA31" s="248"/>
      <c r="AB31" s="248"/>
      <c r="AC31" s="248"/>
      <c r="AD31" s="248"/>
      <c r="AE31" s="248"/>
      <c r="AF31" s="248"/>
      <c r="AG31" s="248"/>
      <c r="AH31" s="248"/>
    </row>
    <row r="32" spans="1:34" s="19" customFormat="1" ht="15.3" x14ac:dyDescent="0.55000000000000004">
      <c r="A32" s="418" t="s">
        <v>42</v>
      </c>
      <c r="B32" s="418"/>
      <c r="C32" s="418"/>
      <c r="D32" s="418"/>
      <c r="E32" s="418"/>
      <c r="F32" s="418"/>
      <c r="G32" s="248"/>
      <c r="H32" s="248"/>
      <c r="I32" s="248"/>
      <c r="J32" s="248"/>
      <c r="K32" s="248"/>
      <c r="L32" s="248"/>
      <c r="M32" s="248"/>
      <c r="N32" s="248"/>
      <c r="O32" s="248"/>
      <c r="P32" s="248"/>
      <c r="Q32" s="248"/>
      <c r="R32" s="248"/>
      <c r="S32" s="248"/>
      <c r="T32" s="248"/>
      <c r="U32" s="248"/>
      <c r="V32" s="248"/>
      <c r="W32" s="248"/>
      <c r="X32" s="248"/>
      <c r="Y32" s="248"/>
      <c r="Z32" s="248"/>
      <c r="AA32" s="248"/>
      <c r="AB32" s="248"/>
      <c r="AC32" s="248"/>
      <c r="AD32" s="248"/>
      <c r="AE32" s="248"/>
      <c r="AF32" s="248"/>
      <c r="AG32" s="248"/>
      <c r="AH32" s="248"/>
    </row>
    <row r="33" spans="1:34" s="5" customFormat="1" ht="30" customHeight="1" x14ac:dyDescent="0.55000000000000004">
      <c r="A33" s="426" t="s">
        <v>43</v>
      </c>
      <c r="B33" s="428" t="s">
        <v>44</v>
      </c>
      <c r="C33" s="429"/>
      <c r="D33" s="429"/>
      <c r="E33" s="43"/>
      <c r="F33" s="235" t="s">
        <v>22</v>
      </c>
      <c r="G33" s="254"/>
      <c r="H33" s="254"/>
      <c r="I33" s="254"/>
      <c r="J33" s="254"/>
      <c r="K33" s="254"/>
      <c r="L33" s="254"/>
      <c r="M33" s="254"/>
      <c r="N33" s="254"/>
      <c r="O33" s="254"/>
      <c r="P33" s="254"/>
      <c r="Q33" s="254"/>
      <c r="R33" s="254"/>
      <c r="S33" s="254"/>
      <c r="T33" s="254"/>
      <c r="U33" s="254"/>
      <c r="V33" s="254"/>
      <c r="W33" s="254"/>
      <c r="X33" s="254"/>
      <c r="Y33" s="254"/>
      <c r="Z33" s="254"/>
      <c r="AA33" s="254"/>
      <c r="AB33" s="254"/>
      <c r="AC33" s="254"/>
      <c r="AD33" s="254"/>
      <c r="AE33" s="254"/>
      <c r="AF33" s="254"/>
      <c r="AG33" s="254"/>
      <c r="AH33" s="254"/>
    </row>
    <row r="34" spans="1:34" s="5" customFormat="1" ht="30" customHeight="1" x14ac:dyDescent="0.55000000000000004">
      <c r="A34" s="427"/>
      <c r="B34" s="430"/>
      <c r="C34" s="431"/>
      <c r="D34" s="431"/>
      <c r="E34" s="45"/>
      <c r="F34" s="236">
        <v>450</v>
      </c>
      <c r="G34" s="254"/>
      <c r="H34" s="254"/>
      <c r="I34" s="254"/>
      <c r="J34" s="254"/>
      <c r="K34" s="254"/>
      <c r="L34" s="254"/>
      <c r="M34" s="254"/>
      <c r="N34" s="254"/>
      <c r="O34" s="254"/>
      <c r="P34" s="254"/>
      <c r="Q34" s="254"/>
      <c r="R34" s="254"/>
      <c r="S34" s="254"/>
      <c r="T34" s="254"/>
      <c r="U34" s="254"/>
      <c r="V34" s="254"/>
      <c r="W34" s="254"/>
      <c r="X34" s="254"/>
      <c r="Y34" s="254"/>
      <c r="Z34" s="254"/>
      <c r="AA34" s="254"/>
      <c r="AB34" s="254"/>
      <c r="AC34" s="254"/>
      <c r="AD34" s="254"/>
      <c r="AE34" s="254"/>
      <c r="AF34" s="254"/>
      <c r="AG34" s="254"/>
      <c r="AH34" s="254"/>
    </row>
    <row r="35" spans="1:34" s="5" customFormat="1" ht="30" customHeight="1" x14ac:dyDescent="0.55000000000000004">
      <c r="A35" s="376" t="s">
        <v>45</v>
      </c>
      <c r="B35" s="47" t="s">
        <v>24</v>
      </c>
      <c r="C35" s="25">
        <v>7</v>
      </c>
      <c r="D35" s="17" t="s">
        <v>106</v>
      </c>
      <c r="E35" s="47"/>
      <c r="F35" s="231">
        <v>5</v>
      </c>
      <c r="G35" s="255"/>
      <c r="H35" s="254"/>
      <c r="I35" s="254"/>
      <c r="J35" s="254"/>
      <c r="K35" s="254"/>
      <c r="L35" s="254"/>
      <c r="M35" s="254"/>
      <c r="N35" s="254"/>
      <c r="O35" s="254"/>
      <c r="P35" s="254"/>
      <c r="Q35" s="254"/>
      <c r="R35" s="254"/>
      <c r="S35" s="254"/>
      <c r="T35" s="254"/>
      <c r="U35" s="254"/>
      <c r="V35" s="254"/>
      <c r="W35" s="254"/>
      <c r="X35" s="254"/>
      <c r="Y35" s="254"/>
      <c r="Z35" s="254"/>
      <c r="AA35" s="254"/>
      <c r="AB35" s="254"/>
      <c r="AC35" s="254"/>
      <c r="AD35" s="254"/>
      <c r="AE35" s="254"/>
      <c r="AF35" s="254"/>
      <c r="AG35" s="254"/>
      <c r="AH35" s="254"/>
    </row>
    <row r="36" spans="1:34" s="5" customFormat="1" ht="38.1" customHeight="1" x14ac:dyDescent="0.55000000000000004">
      <c r="A36" s="377"/>
      <c r="B36" s="49" t="s">
        <v>24</v>
      </c>
      <c r="C36" s="50">
        <v>8</v>
      </c>
      <c r="D36" s="20" t="s">
        <v>46</v>
      </c>
      <c r="E36" s="49"/>
      <c r="F36" s="234">
        <v>5</v>
      </c>
      <c r="G36" s="254"/>
      <c r="H36" s="254"/>
      <c r="I36" s="254"/>
      <c r="J36" s="254"/>
      <c r="K36" s="254"/>
      <c r="L36" s="254"/>
      <c r="M36" s="254"/>
      <c r="N36" s="254"/>
      <c r="O36" s="254"/>
      <c r="P36" s="254"/>
      <c r="Q36" s="254"/>
      <c r="R36" s="254"/>
      <c r="S36" s="254"/>
      <c r="T36" s="254"/>
      <c r="U36" s="254"/>
      <c r="V36" s="254"/>
      <c r="W36" s="254"/>
      <c r="X36" s="254"/>
      <c r="Y36" s="254"/>
      <c r="Z36" s="254"/>
      <c r="AA36" s="254"/>
      <c r="AB36" s="254"/>
      <c r="AC36" s="254"/>
      <c r="AD36" s="254"/>
      <c r="AE36" s="254"/>
      <c r="AF36" s="254"/>
      <c r="AG36" s="254"/>
      <c r="AH36" s="254"/>
    </row>
    <row r="37" spans="1:34" s="5" customFormat="1" ht="30" customHeight="1" x14ac:dyDescent="0.55000000000000004">
      <c r="A37" s="379"/>
      <c r="B37" s="51" t="s">
        <v>24</v>
      </c>
      <c r="C37" s="28">
        <v>9</v>
      </c>
      <c r="D37" s="22" t="s">
        <v>107</v>
      </c>
      <c r="E37" s="51"/>
      <c r="F37" s="233">
        <v>5</v>
      </c>
      <c r="G37" s="254"/>
      <c r="H37" s="254"/>
      <c r="I37" s="254"/>
      <c r="J37" s="254"/>
      <c r="K37" s="254"/>
      <c r="L37" s="254"/>
      <c r="M37" s="254"/>
      <c r="N37" s="254"/>
      <c r="O37" s="254"/>
      <c r="P37" s="254"/>
      <c r="Q37" s="254"/>
      <c r="R37" s="254"/>
      <c r="S37" s="254"/>
      <c r="T37" s="254"/>
      <c r="U37" s="254"/>
      <c r="V37" s="254"/>
      <c r="W37" s="254"/>
      <c r="X37" s="254"/>
      <c r="Y37" s="254"/>
      <c r="Z37" s="254"/>
      <c r="AA37" s="254"/>
      <c r="AB37" s="254"/>
      <c r="AC37" s="254"/>
      <c r="AD37" s="254"/>
      <c r="AE37" s="254"/>
      <c r="AF37" s="254"/>
      <c r="AG37" s="254"/>
      <c r="AH37" s="254"/>
    </row>
    <row r="38" spans="1:34" s="5" customFormat="1" ht="38.1" customHeight="1" x14ac:dyDescent="0.55000000000000004">
      <c r="A38" s="376" t="s">
        <v>47</v>
      </c>
      <c r="B38" s="47" t="s">
        <v>24</v>
      </c>
      <c r="C38" s="25">
        <v>10</v>
      </c>
      <c r="D38" s="17" t="s">
        <v>285</v>
      </c>
      <c r="E38" s="47"/>
      <c r="F38" s="231">
        <v>5</v>
      </c>
      <c r="G38" s="254"/>
      <c r="H38" s="254"/>
      <c r="I38" s="254"/>
      <c r="J38" s="254"/>
      <c r="K38" s="254"/>
      <c r="L38" s="254"/>
      <c r="M38" s="254"/>
      <c r="N38" s="254"/>
      <c r="O38" s="254"/>
      <c r="P38" s="254"/>
      <c r="Q38" s="254"/>
      <c r="R38" s="254"/>
      <c r="S38" s="254"/>
      <c r="T38" s="254"/>
      <c r="U38" s="254"/>
      <c r="V38" s="254"/>
      <c r="W38" s="254"/>
      <c r="X38" s="254"/>
      <c r="Y38" s="254"/>
      <c r="Z38" s="254"/>
      <c r="AA38" s="254"/>
      <c r="AB38" s="254"/>
      <c r="AC38" s="254"/>
      <c r="AD38" s="254"/>
      <c r="AE38" s="254"/>
      <c r="AF38" s="254"/>
      <c r="AG38" s="254"/>
      <c r="AH38" s="254"/>
    </row>
    <row r="39" spans="1:34" s="5" customFormat="1" ht="50.1" customHeight="1" x14ac:dyDescent="0.55000000000000004">
      <c r="A39" s="377"/>
      <c r="B39" s="49" t="s">
        <v>24</v>
      </c>
      <c r="C39" s="50">
        <v>11</v>
      </c>
      <c r="D39" s="53" t="s">
        <v>270</v>
      </c>
      <c r="E39" s="49"/>
      <c r="F39" s="234">
        <v>5</v>
      </c>
      <c r="G39" s="254"/>
      <c r="H39" s="254"/>
      <c r="I39" s="254"/>
      <c r="J39" s="254"/>
      <c r="K39" s="254"/>
      <c r="L39" s="254"/>
      <c r="M39" s="254"/>
      <c r="N39" s="254"/>
      <c r="O39" s="254"/>
      <c r="P39" s="254"/>
      <c r="Q39" s="254"/>
      <c r="R39" s="254"/>
      <c r="S39" s="254"/>
      <c r="T39" s="254"/>
      <c r="U39" s="254"/>
      <c r="V39" s="254"/>
      <c r="W39" s="254"/>
      <c r="X39" s="254"/>
      <c r="Y39" s="254"/>
      <c r="Z39" s="254"/>
      <c r="AA39" s="254"/>
      <c r="AB39" s="254"/>
      <c r="AC39" s="254"/>
      <c r="AD39" s="254"/>
      <c r="AE39" s="254"/>
      <c r="AF39" s="254"/>
      <c r="AG39" s="254"/>
      <c r="AH39" s="254"/>
    </row>
    <row r="40" spans="1:34" s="5" customFormat="1" ht="50.1" customHeight="1" x14ac:dyDescent="0.55000000000000004">
      <c r="A40" s="379"/>
      <c r="B40" s="51" t="s">
        <v>24</v>
      </c>
      <c r="C40" s="28">
        <v>12</v>
      </c>
      <c r="D40" s="22" t="s">
        <v>48</v>
      </c>
      <c r="E40" s="51"/>
      <c r="F40" s="233">
        <v>5</v>
      </c>
      <c r="G40" s="254"/>
      <c r="H40" s="254"/>
      <c r="I40" s="254"/>
      <c r="J40" s="254"/>
      <c r="K40" s="254"/>
      <c r="L40" s="254"/>
      <c r="M40" s="254"/>
      <c r="N40" s="254"/>
      <c r="O40" s="254"/>
      <c r="P40" s="254"/>
      <c r="Q40" s="254"/>
      <c r="R40" s="254"/>
      <c r="S40" s="254"/>
      <c r="T40" s="254"/>
      <c r="U40" s="254"/>
      <c r="V40" s="254"/>
      <c r="W40" s="254"/>
      <c r="X40" s="254"/>
      <c r="Y40" s="254"/>
      <c r="Z40" s="254"/>
      <c r="AA40" s="254"/>
      <c r="AB40" s="254"/>
      <c r="AC40" s="254"/>
      <c r="AD40" s="254"/>
      <c r="AE40" s="254"/>
      <c r="AF40" s="254"/>
      <c r="AG40" s="254"/>
      <c r="AH40" s="254"/>
    </row>
    <row r="41" spans="1:34" s="5" customFormat="1" ht="38.1" customHeight="1" x14ac:dyDescent="0.55000000000000004">
      <c r="A41" s="432" t="s">
        <v>286</v>
      </c>
      <c r="B41" s="47" t="s">
        <v>24</v>
      </c>
      <c r="C41" s="201">
        <v>13</v>
      </c>
      <c r="D41" s="17" t="s">
        <v>287</v>
      </c>
      <c r="E41" s="202"/>
      <c r="F41" s="231">
        <v>10</v>
      </c>
      <c r="G41" s="254"/>
      <c r="H41" s="254"/>
      <c r="I41" s="254"/>
      <c r="J41" s="254"/>
      <c r="K41" s="254"/>
      <c r="L41" s="254"/>
      <c r="M41" s="254"/>
      <c r="N41" s="254"/>
      <c r="O41" s="254"/>
      <c r="P41" s="254"/>
      <c r="Q41" s="254"/>
      <c r="R41" s="254"/>
      <c r="S41" s="254"/>
      <c r="T41" s="254"/>
      <c r="U41" s="254"/>
      <c r="V41" s="254"/>
      <c r="W41" s="254"/>
      <c r="X41" s="254"/>
      <c r="Y41" s="254"/>
      <c r="Z41" s="254"/>
      <c r="AA41" s="254"/>
      <c r="AB41" s="254"/>
      <c r="AC41" s="254"/>
      <c r="AD41" s="254"/>
      <c r="AE41" s="254"/>
      <c r="AF41" s="254"/>
      <c r="AG41" s="254"/>
      <c r="AH41" s="254"/>
    </row>
    <row r="42" spans="1:34" s="5" customFormat="1" ht="38.1" customHeight="1" x14ac:dyDescent="0.55000000000000004">
      <c r="A42" s="433"/>
      <c r="B42" s="49" t="s">
        <v>24</v>
      </c>
      <c r="C42" s="50">
        <v>14</v>
      </c>
      <c r="D42" s="73" t="s">
        <v>288</v>
      </c>
      <c r="E42" s="52"/>
      <c r="F42" s="234">
        <v>15</v>
      </c>
      <c r="G42" s="254"/>
      <c r="H42" s="254"/>
      <c r="I42" s="254"/>
      <c r="J42" s="254"/>
      <c r="K42" s="254"/>
      <c r="L42" s="254"/>
      <c r="M42" s="254"/>
      <c r="N42" s="254"/>
      <c r="O42" s="254"/>
      <c r="P42" s="254"/>
      <c r="Q42" s="254"/>
      <c r="R42" s="254"/>
      <c r="S42" s="254"/>
      <c r="T42" s="254"/>
      <c r="U42" s="254"/>
      <c r="V42" s="254"/>
      <c r="W42" s="254"/>
      <c r="X42" s="254"/>
      <c r="Y42" s="254"/>
      <c r="Z42" s="254"/>
      <c r="AA42" s="254"/>
      <c r="AB42" s="254"/>
      <c r="AC42" s="254"/>
      <c r="AD42" s="254"/>
      <c r="AE42" s="254"/>
      <c r="AF42" s="254"/>
      <c r="AG42" s="254"/>
      <c r="AH42" s="254"/>
    </row>
    <row r="43" spans="1:34" s="5" customFormat="1" ht="46.5" customHeight="1" x14ac:dyDescent="0.55000000000000004">
      <c r="A43" s="433"/>
      <c r="B43" s="49" t="s">
        <v>24</v>
      </c>
      <c r="C43" s="50">
        <v>15</v>
      </c>
      <c r="D43" s="20" t="s">
        <v>289</v>
      </c>
      <c r="E43" s="52"/>
      <c r="F43" s="234">
        <v>20</v>
      </c>
      <c r="G43" s="254"/>
      <c r="H43" s="254"/>
      <c r="I43" s="254"/>
      <c r="J43" s="254"/>
      <c r="K43" s="254"/>
      <c r="L43" s="254"/>
      <c r="M43" s="254"/>
      <c r="N43" s="254"/>
      <c r="O43" s="254"/>
      <c r="P43" s="254"/>
      <c r="Q43" s="254"/>
      <c r="R43" s="254"/>
      <c r="S43" s="254"/>
      <c r="T43" s="254"/>
      <c r="U43" s="254"/>
      <c r="V43" s="254"/>
      <c r="W43" s="254"/>
      <c r="X43" s="254"/>
      <c r="Y43" s="254"/>
      <c r="Z43" s="254"/>
      <c r="AA43" s="254"/>
      <c r="AB43" s="254"/>
      <c r="AC43" s="254"/>
      <c r="AD43" s="254"/>
      <c r="AE43" s="254"/>
      <c r="AF43" s="254"/>
      <c r="AG43" s="254"/>
      <c r="AH43" s="254"/>
    </row>
    <row r="44" spans="1:34" s="56" customFormat="1" ht="35.25" customHeight="1" x14ac:dyDescent="0.55000000000000004">
      <c r="A44" s="433"/>
      <c r="B44" s="54" t="s">
        <v>24</v>
      </c>
      <c r="C44" s="55">
        <v>16</v>
      </c>
      <c r="D44" s="20" t="s">
        <v>290</v>
      </c>
      <c r="E44" s="54"/>
      <c r="F44" s="237">
        <v>25</v>
      </c>
      <c r="G44" s="256"/>
      <c r="H44" s="256"/>
      <c r="I44" s="256"/>
      <c r="J44" s="256"/>
      <c r="K44" s="256"/>
      <c r="L44" s="256"/>
      <c r="M44" s="256"/>
      <c r="N44" s="256"/>
      <c r="O44" s="256"/>
      <c r="P44" s="256"/>
      <c r="Q44" s="256"/>
      <c r="R44" s="256"/>
      <c r="S44" s="256"/>
      <c r="T44" s="256"/>
      <c r="U44" s="256"/>
      <c r="V44" s="256"/>
      <c r="W44" s="256"/>
      <c r="X44" s="256"/>
      <c r="Y44" s="256"/>
      <c r="Z44" s="256"/>
      <c r="AA44" s="256"/>
      <c r="AB44" s="256"/>
      <c r="AC44" s="256"/>
      <c r="AD44" s="256"/>
      <c r="AE44" s="256"/>
      <c r="AF44" s="256"/>
      <c r="AG44" s="256"/>
      <c r="AH44" s="256"/>
    </row>
    <row r="45" spans="1:34" s="5" customFormat="1" ht="38.1" customHeight="1" x14ac:dyDescent="0.55000000000000004">
      <c r="A45" s="434"/>
      <c r="B45" s="51" t="s">
        <v>24</v>
      </c>
      <c r="C45" s="28">
        <v>17</v>
      </c>
      <c r="D45" s="22" t="s">
        <v>291</v>
      </c>
      <c r="E45" s="57"/>
      <c r="F45" s="233">
        <v>40</v>
      </c>
      <c r="G45" s="254"/>
      <c r="H45" s="254"/>
      <c r="I45" s="254"/>
      <c r="J45" s="254"/>
      <c r="K45" s="254"/>
      <c r="L45" s="254"/>
      <c r="M45" s="254"/>
      <c r="N45" s="254"/>
      <c r="O45" s="254"/>
      <c r="P45" s="254"/>
      <c r="Q45" s="254"/>
      <c r="R45" s="254"/>
      <c r="S45" s="254"/>
      <c r="T45" s="254"/>
      <c r="U45" s="254"/>
      <c r="V45" s="254"/>
      <c r="W45" s="254"/>
      <c r="X45" s="254"/>
      <c r="Y45" s="254"/>
      <c r="Z45" s="254"/>
      <c r="AA45" s="254"/>
      <c r="AB45" s="254"/>
      <c r="AC45" s="254"/>
      <c r="AD45" s="254"/>
      <c r="AE45" s="254"/>
      <c r="AF45" s="254"/>
      <c r="AG45" s="254"/>
      <c r="AH45" s="254"/>
    </row>
    <row r="46" spans="1:34" s="5" customFormat="1" ht="45" customHeight="1" x14ac:dyDescent="0.55000000000000004">
      <c r="A46" s="432" t="s">
        <v>292</v>
      </c>
      <c r="B46" s="380" t="s">
        <v>24</v>
      </c>
      <c r="C46" s="439">
        <v>18</v>
      </c>
      <c r="D46" s="17" t="s">
        <v>293</v>
      </c>
      <c r="E46" s="440" t="s">
        <v>49</v>
      </c>
      <c r="F46" s="231">
        <v>10</v>
      </c>
      <c r="G46" s="254"/>
      <c r="H46" s="254"/>
      <c r="I46" s="254"/>
      <c r="J46" s="254"/>
      <c r="K46" s="254"/>
      <c r="L46" s="254"/>
      <c r="M46" s="254"/>
      <c r="N46" s="254"/>
      <c r="O46" s="254"/>
      <c r="P46" s="254"/>
      <c r="Q46" s="254"/>
      <c r="R46" s="254"/>
      <c r="S46" s="254"/>
      <c r="T46" s="254"/>
      <c r="U46" s="254"/>
      <c r="V46" s="254"/>
      <c r="W46" s="254"/>
      <c r="X46" s="254"/>
      <c r="Y46" s="254"/>
      <c r="Z46" s="254"/>
      <c r="AA46" s="254"/>
      <c r="AB46" s="254"/>
      <c r="AC46" s="254"/>
      <c r="AD46" s="254"/>
      <c r="AE46" s="254"/>
      <c r="AF46" s="254"/>
      <c r="AG46" s="254"/>
      <c r="AH46" s="254"/>
    </row>
    <row r="47" spans="1:34" s="5" customFormat="1" ht="41.25" customHeight="1" x14ac:dyDescent="0.55000000000000004">
      <c r="A47" s="433"/>
      <c r="B47" s="381"/>
      <c r="C47" s="413"/>
      <c r="D47" s="20" t="s">
        <v>294</v>
      </c>
      <c r="E47" s="441"/>
      <c r="F47" s="234">
        <v>20</v>
      </c>
      <c r="G47" s="254"/>
      <c r="H47" s="254"/>
      <c r="I47" s="254"/>
      <c r="J47" s="254"/>
      <c r="K47" s="254"/>
      <c r="L47" s="254"/>
      <c r="M47" s="254"/>
      <c r="N47" s="254"/>
      <c r="O47" s="254"/>
      <c r="P47" s="254"/>
      <c r="Q47" s="254"/>
      <c r="R47" s="254"/>
      <c r="S47" s="254"/>
      <c r="T47" s="254"/>
      <c r="U47" s="254"/>
      <c r="V47" s="254"/>
      <c r="W47" s="254"/>
      <c r="X47" s="254"/>
      <c r="Y47" s="254"/>
      <c r="Z47" s="254"/>
      <c r="AA47" s="254"/>
      <c r="AB47" s="254"/>
      <c r="AC47" s="254"/>
      <c r="AD47" s="254"/>
      <c r="AE47" s="254"/>
      <c r="AF47" s="254"/>
      <c r="AG47" s="254"/>
      <c r="AH47" s="254"/>
    </row>
    <row r="48" spans="1:34" s="5" customFormat="1" ht="48.75" customHeight="1" x14ac:dyDescent="0.55000000000000004">
      <c r="A48" s="438"/>
      <c r="B48" s="382"/>
      <c r="C48" s="386"/>
      <c r="D48" s="79" t="s">
        <v>295</v>
      </c>
      <c r="E48" s="362"/>
      <c r="F48" s="238">
        <v>30</v>
      </c>
      <c r="G48" s="254"/>
      <c r="H48" s="254"/>
      <c r="I48" s="254"/>
      <c r="J48" s="254"/>
      <c r="K48" s="254"/>
      <c r="L48" s="254"/>
      <c r="M48" s="254"/>
      <c r="N48" s="254"/>
      <c r="O48" s="254"/>
      <c r="P48" s="254"/>
      <c r="Q48" s="254"/>
      <c r="R48" s="254"/>
      <c r="S48" s="254"/>
      <c r="T48" s="254"/>
      <c r="U48" s="254"/>
      <c r="V48" s="254"/>
      <c r="W48" s="254"/>
      <c r="X48" s="254"/>
      <c r="Y48" s="254"/>
      <c r="Z48" s="254"/>
      <c r="AA48" s="254"/>
      <c r="AB48" s="254"/>
      <c r="AC48" s="254"/>
      <c r="AD48" s="254"/>
      <c r="AE48" s="254"/>
      <c r="AF48" s="254"/>
      <c r="AG48" s="254"/>
      <c r="AH48" s="254"/>
    </row>
    <row r="49" spans="1:34" s="5" customFormat="1" ht="44.25" customHeight="1" x14ac:dyDescent="0.55000000000000004">
      <c r="A49" s="434"/>
      <c r="B49" s="383"/>
      <c r="C49" s="387"/>
      <c r="D49" s="22" t="s">
        <v>296</v>
      </c>
      <c r="E49" s="363"/>
      <c r="F49" s="233">
        <v>50</v>
      </c>
      <c r="G49" s="254"/>
      <c r="H49" s="254"/>
      <c r="I49" s="254"/>
      <c r="J49" s="254"/>
      <c r="K49" s="254"/>
      <c r="L49" s="254"/>
      <c r="M49" s="254"/>
      <c r="N49" s="254"/>
      <c r="O49" s="254"/>
      <c r="P49" s="254"/>
      <c r="Q49" s="254"/>
      <c r="R49" s="254"/>
      <c r="S49" s="254"/>
      <c r="T49" s="254"/>
      <c r="U49" s="254"/>
      <c r="V49" s="254"/>
      <c r="W49" s="254"/>
      <c r="X49" s="254"/>
      <c r="Y49" s="254"/>
      <c r="Z49" s="254"/>
      <c r="AA49" s="254"/>
      <c r="AB49" s="254"/>
      <c r="AC49" s="254"/>
      <c r="AD49" s="254"/>
      <c r="AE49" s="254"/>
      <c r="AF49" s="254"/>
      <c r="AG49" s="254"/>
      <c r="AH49" s="254"/>
    </row>
    <row r="50" spans="1:34" s="5" customFormat="1" ht="30" customHeight="1" x14ac:dyDescent="0.55000000000000004">
      <c r="A50" s="364" t="s">
        <v>297</v>
      </c>
      <c r="B50" s="442" t="s">
        <v>271</v>
      </c>
      <c r="C50" s="353">
        <v>19</v>
      </c>
      <c r="D50" s="17" t="s">
        <v>298</v>
      </c>
      <c r="E50" s="435" t="s">
        <v>49</v>
      </c>
      <c r="F50" s="231">
        <v>40</v>
      </c>
      <c r="G50" s="254"/>
      <c r="H50" s="254"/>
      <c r="I50" s="254"/>
      <c r="J50" s="254"/>
      <c r="K50" s="254"/>
      <c r="L50" s="254"/>
      <c r="M50" s="254"/>
      <c r="N50" s="254"/>
      <c r="O50" s="254"/>
      <c r="P50" s="254"/>
      <c r="Q50" s="254"/>
      <c r="R50" s="254"/>
      <c r="S50" s="254"/>
      <c r="T50" s="254"/>
      <c r="U50" s="254"/>
      <c r="V50" s="254"/>
      <c r="W50" s="254"/>
      <c r="X50" s="254"/>
      <c r="Y50" s="254"/>
      <c r="Z50" s="254"/>
      <c r="AA50" s="254"/>
      <c r="AB50" s="254"/>
      <c r="AC50" s="254"/>
      <c r="AD50" s="254"/>
      <c r="AE50" s="254"/>
      <c r="AF50" s="254"/>
      <c r="AG50" s="254"/>
      <c r="AH50" s="254"/>
    </row>
    <row r="51" spans="1:34" s="5" customFormat="1" ht="30" customHeight="1" x14ac:dyDescent="0.55000000000000004">
      <c r="A51" s="365"/>
      <c r="B51" s="443"/>
      <c r="C51" s="354"/>
      <c r="D51" s="20" t="s">
        <v>299</v>
      </c>
      <c r="E51" s="436"/>
      <c r="F51" s="234">
        <v>50</v>
      </c>
      <c r="G51" s="254"/>
      <c r="H51" s="254"/>
      <c r="I51" s="254"/>
      <c r="J51" s="254"/>
      <c r="K51" s="254"/>
      <c r="L51" s="254"/>
      <c r="M51" s="254"/>
      <c r="N51" s="254"/>
      <c r="O51" s="254"/>
      <c r="P51" s="254"/>
      <c r="Q51" s="254"/>
      <c r="R51" s="254"/>
      <c r="S51" s="254"/>
      <c r="T51" s="254"/>
      <c r="U51" s="254"/>
      <c r="V51" s="254"/>
      <c r="W51" s="254"/>
      <c r="X51" s="254"/>
      <c r="Y51" s="254"/>
      <c r="Z51" s="254"/>
      <c r="AA51" s="254"/>
      <c r="AB51" s="254"/>
      <c r="AC51" s="254"/>
      <c r="AD51" s="254"/>
      <c r="AE51" s="254"/>
      <c r="AF51" s="254"/>
      <c r="AG51" s="254"/>
      <c r="AH51" s="254"/>
    </row>
    <row r="52" spans="1:34" s="5" customFormat="1" ht="35.25" customHeight="1" x14ac:dyDescent="0.55000000000000004">
      <c r="A52" s="365"/>
      <c r="B52" s="443"/>
      <c r="C52" s="354"/>
      <c r="D52" s="79" t="s">
        <v>300</v>
      </c>
      <c r="E52" s="436"/>
      <c r="F52" s="238">
        <v>60</v>
      </c>
      <c r="G52" s="254"/>
      <c r="H52" s="254"/>
      <c r="I52" s="254"/>
      <c r="J52" s="254"/>
      <c r="K52" s="254"/>
      <c r="L52" s="254"/>
      <c r="M52" s="254"/>
      <c r="N52" s="254"/>
      <c r="O52" s="254"/>
      <c r="P52" s="254"/>
      <c r="Q52" s="254"/>
      <c r="R52" s="254"/>
      <c r="S52" s="254"/>
      <c r="T52" s="254"/>
      <c r="U52" s="254"/>
      <c r="V52" s="254"/>
      <c r="W52" s="254"/>
      <c r="X52" s="254"/>
      <c r="Y52" s="254"/>
      <c r="Z52" s="254"/>
      <c r="AA52" s="254"/>
      <c r="AB52" s="254"/>
      <c r="AC52" s="254"/>
      <c r="AD52" s="254"/>
      <c r="AE52" s="254"/>
      <c r="AF52" s="254"/>
      <c r="AG52" s="254"/>
      <c r="AH52" s="254"/>
    </row>
    <row r="53" spans="1:34" s="5" customFormat="1" ht="36.75" customHeight="1" x14ac:dyDescent="0.55000000000000004">
      <c r="A53" s="365"/>
      <c r="B53" s="443"/>
      <c r="C53" s="354"/>
      <c r="D53" s="79" t="s">
        <v>301</v>
      </c>
      <c r="E53" s="436"/>
      <c r="F53" s="238">
        <v>70</v>
      </c>
      <c r="G53" s="254"/>
      <c r="H53" s="254"/>
      <c r="I53" s="254"/>
      <c r="J53" s="254"/>
      <c r="K53" s="254"/>
      <c r="L53" s="254"/>
      <c r="M53" s="254"/>
      <c r="N53" s="254"/>
      <c r="O53" s="254"/>
      <c r="P53" s="254"/>
      <c r="Q53" s="254"/>
      <c r="R53" s="254"/>
      <c r="S53" s="254"/>
      <c r="T53" s="254"/>
      <c r="U53" s="254"/>
      <c r="V53" s="254"/>
      <c r="W53" s="254"/>
      <c r="X53" s="254"/>
      <c r="Y53" s="254"/>
      <c r="Z53" s="254"/>
      <c r="AA53" s="254"/>
      <c r="AB53" s="254"/>
      <c r="AC53" s="254"/>
      <c r="AD53" s="254"/>
      <c r="AE53" s="254"/>
      <c r="AF53" s="254"/>
      <c r="AG53" s="254"/>
      <c r="AH53" s="254"/>
    </row>
    <row r="54" spans="1:34" s="5" customFormat="1" ht="41.25" customHeight="1" x14ac:dyDescent="0.55000000000000004">
      <c r="A54" s="366"/>
      <c r="B54" s="444"/>
      <c r="C54" s="355"/>
      <c r="D54" s="79" t="s">
        <v>302</v>
      </c>
      <c r="E54" s="437"/>
      <c r="F54" s="238">
        <v>80</v>
      </c>
      <c r="G54" s="254"/>
      <c r="H54" s="254"/>
      <c r="I54" s="254"/>
      <c r="J54" s="254"/>
      <c r="K54" s="254"/>
      <c r="L54" s="254"/>
      <c r="M54" s="254"/>
      <c r="N54" s="254"/>
      <c r="O54" s="254"/>
      <c r="P54" s="254"/>
      <c r="Q54" s="254"/>
      <c r="R54" s="254"/>
      <c r="S54" s="254"/>
      <c r="T54" s="254"/>
      <c r="U54" s="254"/>
      <c r="V54" s="254"/>
      <c r="W54" s="254"/>
      <c r="X54" s="254"/>
      <c r="Y54" s="254"/>
      <c r="Z54" s="254"/>
      <c r="AA54" s="254"/>
      <c r="AB54" s="254"/>
      <c r="AC54" s="254"/>
      <c r="AD54" s="254"/>
      <c r="AE54" s="254"/>
      <c r="AF54" s="254"/>
      <c r="AG54" s="254"/>
      <c r="AH54" s="254"/>
    </row>
    <row r="55" spans="1:34" s="5" customFormat="1" ht="38.1" customHeight="1" x14ac:dyDescent="0.55000000000000004">
      <c r="A55" s="432" t="s">
        <v>303</v>
      </c>
      <c r="B55" s="380" t="s">
        <v>24</v>
      </c>
      <c r="C55" s="384">
        <v>20</v>
      </c>
      <c r="D55" s="17" t="s">
        <v>304</v>
      </c>
      <c r="E55" s="435" t="s">
        <v>49</v>
      </c>
      <c r="F55" s="231">
        <v>20</v>
      </c>
      <c r="G55" s="254"/>
      <c r="H55" s="254"/>
      <c r="I55" s="254"/>
      <c r="J55" s="254"/>
      <c r="K55" s="254"/>
      <c r="L55" s="254"/>
      <c r="M55" s="254"/>
      <c r="N55" s="254"/>
      <c r="O55" s="254"/>
      <c r="P55" s="254"/>
      <c r="Q55" s="254"/>
      <c r="R55" s="254"/>
      <c r="S55" s="254"/>
      <c r="T55" s="254"/>
      <c r="U55" s="254"/>
      <c r="V55" s="254"/>
      <c r="W55" s="254"/>
      <c r="X55" s="254"/>
      <c r="Y55" s="254"/>
      <c r="Z55" s="254"/>
      <c r="AA55" s="254"/>
      <c r="AB55" s="254"/>
      <c r="AC55" s="254"/>
      <c r="AD55" s="254"/>
      <c r="AE55" s="254"/>
      <c r="AF55" s="254"/>
      <c r="AG55" s="254"/>
      <c r="AH55" s="254"/>
    </row>
    <row r="56" spans="1:34" s="5" customFormat="1" ht="38.1" customHeight="1" x14ac:dyDescent="0.55000000000000004">
      <c r="A56" s="433"/>
      <c r="B56" s="381"/>
      <c r="C56" s="385"/>
      <c r="D56" s="20" t="s">
        <v>305</v>
      </c>
      <c r="E56" s="436"/>
      <c r="F56" s="234">
        <v>30</v>
      </c>
      <c r="G56" s="254"/>
      <c r="H56" s="254"/>
      <c r="I56" s="254"/>
      <c r="J56" s="254"/>
      <c r="K56" s="254"/>
      <c r="L56" s="254"/>
      <c r="M56" s="254"/>
      <c r="N56" s="254"/>
      <c r="O56" s="254"/>
      <c r="P56" s="254"/>
      <c r="Q56" s="254"/>
      <c r="R56" s="254"/>
      <c r="S56" s="254"/>
      <c r="T56" s="254"/>
      <c r="U56" s="254"/>
      <c r="V56" s="254"/>
      <c r="W56" s="254"/>
      <c r="X56" s="254"/>
      <c r="Y56" s="254"/>
      <c r="Z56" s="254"/>
      <c r="AA56" s="254"/>
      <c r="AB56" s="254"/>
      <c r="AC56" s="254"/>
      <c r="AD56" s="254"/>
      <c r="AE56" s="254"/>
      <c r="AF56" s="254"/>
      <c r="AG56" s="254"/>
      <c r="AH56" s="254"/>
    </row>
    <row r="57" spans="1:34" s="5" customFormat="1" ht="38.1" customHeight="1" x14ac:dyDescent="0.55000000000000004">
      <c r="A57" s="434"/>
      <c r="B57" s="383"/>
      <c r="C57" s="387"/>
      <c r="D57" s="22" t="s">
        <v>306</v>
      </c>
      <c r="E57" s="437"/>
      <c r="F57" s="233">
        <v>50</v>
      </c>
      <c r="G57" s="254"/>
      <c r="H57" s="254"/>
      <c r="I57" s="254"/>
      <c r="J57" s="254"/>
      <c r="K57" s="254"/>
      <c r="L57" s="254"/>
      <c r="M57" s="254"/>
      <c r="N57" s="254"/>
      <c r="O57" s="254"/>
      <c r="P57" s="254"/>
      <c r="Q57" s="254"/>
      <c r="R57" s="254"/>
      <c r="S57" s="254"/>
      <c r="T57" s="254"/>
      <c r="U57" s="254"/>
      <c r="V57" s="254"/>
      <c r="W57" s="254"/>
      <c r="X57" s="254"/>
      <c r="Y57" s="254"/>
      <c r="Z57" s="254"/>
      <c r="AA57" s="254"/>
      <c r="AB57" s="254"/>
      <c r="AC57" s="254"/>
      <c r="AD57" s="254"/>
      <c r="AE57" s="254"/>
      <c r="AF57" s="254"/>
      <c r="AG57" s="254"/>
      <c r="AH57" s="254"/>
    </row>
    <row r="58" spans="1:34" s="5" customFormat="1" ht="38.1" customHeight="1" x14ac:dyDescent="0.55000000000000004">
      <c r="A58" s="376" t="s">
        <v>307</v>
      </c>
      <c r="B58" s="380" t="s">
        <v>24</v>
      </c>
      <c r="C58" s="384">
        <v>21</v>
      </c>
      <c r="D58" s="17" t="s">
        <v>308</v>
      </c>
      <c r="E58" s="360" t="s">
        <v>49</v>
      </c>
      <c r="F58" s="231">
        <v>20</v>
      </c>
      <c r="G58" s="254"/>
      <c r="H58" s="254"/>
      <c r="I58" s="254"/>
      <c r="J58" s="254"/>
      <c r="K58" s="254"/>
      <c r="L58" s="254"/>
      <c r="M58" s="254"/>
      <c r="N58" s="254"/>
      <c r="O58" s="254"/>
      <c r="P58" s="254"/>
      <c r="Q58" s="254"/>
      <c r="R58" s="254"/>
      <c r="S58" s="254"/>
      <c r="T58" s="254"/>
      <c r="U58" s="254"/>
      <c r="V58" s="254"/>
      <c r="W58" s="254"/>
      <c r="X58" s="254"/>
      <c r="Y58" s="254"/>
      <c r="Z58" s="254"/>
      <c r="AA58" s="254"/>
      <c r="AB58" s="254"/>
      <c r="AC58" s="254"/>
      <c r="AD58" s="254"/>
      <c r="AE58" s="254"/>
      <c r="AF58" s="254"/>
      <c r="AG58" s="254"/>
      <c r="AH58" s="254"/>
    </row>
    <row r="59" spans="1:34" s="5" customFormat="1" ht="38.1" customHeight="1" x14ac:dyDescent="0.55000000000000004">
      <c r="A59" s="377"/>
      <c r="B59" s="381"/>
      <c r="C59" s="385"/>
      <c r="D59" s="20" t="s">
        <v>309</v>
      </c>
      <c r="E59" s="361"/>
      <c r="F59" s="234">
        <v>40</v>
      </c>
      <c r="G59" s="254"/>
      <c r="H59" s="254"/>
      <c r="I59" s="254"/>
      <c r="J59" s="254"/>
      <c r="K59" s="254"/>
      <c r="L59" s="254"/>
      <c r="M59" s="254"/>
      <c r="N59" s="254"/>
      <c r="O59" s="254"/>
      <c r="P59" s="254"/>
      <c r="Q59" s="254"/>
      <c r="R59" s="254"/>
      <c r="S59" s="254"/>
      <c r="T59" s="254"/>
      <c r="U59" s="254"/>
      <c r="V59" s="254"/>
      <c r="W59" s="254"/>
      <c r="X59" s="254"/>
      <c r="Y59" s="254"/>
      <c r="Z59" s="254"/>
      <c r="AA59" s="254"/>
      <c r="AB59" s="254"/>
      <c r="AC59" s="254"/>
      <c r="AD59" s="254"/>
      <c r="AE59" s="254"/>
      <c r="AF59" s="254"/>
      <c r="AG59" s="254"/>
      <c r="AH59" s="254"/>
    </row>
    <row r="60" spans="1:34" s="5" customFormat="1" ht="38.1" customHeight="1" x14ac:dyDescent="0.55000000000000004">
      <c r="A60" s="378"/>
      <c r="B60" s="382"/>
      <c r="C60" s="386"/>
      <c r="D60" s="79" t="s">
        <v>310</v>
      </c>
      <c r="E60" s="362"/>
      <c r="F60" s="238">
        <v>60</v>
      </c>
      <c r="G60" s="254"/>
      <c r="H60" s="254"/>
      <c r="I60" s="254"/>
      <c r="J60" s="254"/>
      <c r="K60" s="254"/>
      <c r="L60" s="254"/>
      <c r="M60" s="254"/>
      <c r="N60" s="254"/>
      <c r="O60" s="254"/>
      <c r="P60" s="254"/>
      <c r="Q60" s="254"/>
      <c r="R60" s="254"/>
      <c r="S60" s="254"/>
      <c r="T60" s="254"/>
      <c r="U60" s="254"/>
      <c r="V60" s="254"/>
      <c r="W60" s="254"/>
      <c r="X60" s="254"/>
      <c r="Y60" s="254"/>
      <c r="Z60" s="254"/>
      <c r="AA60" s="254"/>
      <c r="AB60" s="254"/>
      <c r="AC60" s="254"/>
      <c r="AD60" s="254"/>
      <c r="AE60" s="254"/>
      <c r="AF60" s="254"/>
      <c r="AG60" s="254"/>
      <c r="AH60" s="254"/>
    </row>
    <row r="61" spans="1:34" s="5" customFormat="1" ht="38.1" customHeight="1" x14ac:dyDescent="0.55000000000000004">
      <c r="A61" s="379"/>
      <c r="B61" s="383"/>
      <c r="C61" s="387"/>
      <c r="D61" s="22" t="s">
        <v>311</v>
      </c>
      <c r="E61" s="363"/>
      <c r="F61" s="233">
        <v>80</v>
      </c>
      <c r="G61" s="254"/>
      <c r="H61" s="254"/>
      <c r="I61" s="254"/>
      <c r="J61" s="254"/>
      <c r="K61" s="254"/>
      <c r="L61" s="254"/>
      <c r="M61" s="254"/>
      <c r="N61" s="254"/>
      <c r="O61" s="254"/>
      <c r="P61" s="254"/>
      <c r="Q61" s="254"/>
      <c r="R61" s="254"/>
      <c r="S61" s="254"/>
      <c r="T61" s="254"/>
      <c r="U61" s="254"/>
      <c r="V61" s="254"/>
      <c r="W61" s="254"/>
      <c r="X61" s="254"/>
      <c r="Y61" s="254"/>
      <c r="Z61" s="254"/>
      <c r="AA61" s="254"/>
      <c r="AB61" s="254"/>
      <c r="AC61" s="254"/>
      <c r="AD61" s="254"/>
      <c r="AE61" s="254"/>
      <c r="AF61" s="254"/>
      <c r="AG61" s="254"/>
      <c r="AH61" s="254"/>
    </row>
    <row r="62" spans="1:34" s="5" customFormat="1" ht="50.1" customHeight="1" x14ac:dyDescent="0.55000000000000004">
      <c r="A62" s="364" t="s">
        <v>312</v>
      </c>
      <c r="B62" s="47" t="s">
        <v>24</v>
      </c>
      <c r="C62" s="201">
        <v>22</v>
      </c>
      <c r="D62" s="48" t="s">
        <v>313</v>
      </c>
      <c r="E62" s="205"/>
      <c r="F62" s="231">
        <v>15</v>
      </c>
      <c r="G62" s="254"/>
      <c r="H62" s="254"/>
      <c r="I62" s="254"/>
      <c r="J62" s="254"/>
      <c r="K62" s="254"/>
      <c r="L62" s="254"/>
      <c r="M62" s="254"/>
      <c r="N62" s="254"/>
      <c r="O62" s="254"/>
      <c r="P62" s="254"/>
      <c r="Q62" s="254"/>
      <c r="R62" s="254"/>
      <c r="S62" s="254"/>
      <c r="T62" s="254"/>
      <c r="U62" s="254"/>
      <c r="V62" s="254"/>
      <c r="W62" s="254"/>
      <c r="X62" s="254"/>
      <c r="Y62" s="254"/>
      <c r="Z62" s="254"/>
      <c r="AA62" s="254"/>
      <c r="AB62" s="254"/>
      <c r="AC62" s="254"/>
      <c r="AD62" s="254"/>
      <c r="AE62" s="254"/>
      <c r="AF62" s="254"/>
      <c r="AG62" s="254"/>
      <c r="AH62" s="254"/>
    </row>
    <row r="63" spans="1:34" s="5" customFormat="1" ht="51" customHeight="1" x14ac:dyDescent="0.55000000000000004">
      <c r="A63" s="365"/>
      <c r="B63" s="49" t="s">
        <v>314</v>
      </c>
      <c r="C63" s="204">
        <v>23</v>
      </c>
      <c r="D63" s="20" t="s">
        <v>315</v>
      </c>
      <c r="E63" s="206"/>
      <c r="F63" s="234">
        <v>10</v>
      </c>
      <c r="G63" s="254"/>
      <c r="H63" s="254"/>
      <c r="I63" s="254"/>
      <c r="J63" s="254"/>
      <c r="K63" s="254"/>
      <c r="L63" s="254"/>
      <c r="M63" s="254"/>
      <c r="N63" s="254"/>
      <c r="O63" s="254"/>
      <c r="P63" s="254"/>
      <c r="Q63" s="254"/>
      <c r="R63" s="254"/>
      <c r="S63" s="254"/>
      <c r="T63" s="254"/>
      <c r="U63" s="254"/>
      <c r="V63" s="254"/>
      <c r="W63" s="254"/>
      <c r="X63" s="254"/>
      <c r="Y63" s="254"/>
      <c r="Z63" s="254"/>
      <c r="AA63" s="254"/>
      <c r="AB63" s="254"/>
      <c r="AC63" s="254"/>
      <c r="AD63" s="254"/>
      <c r="AE63" s="254"/>
      <c r="AF63" s="254"/>
      <c r="AG63" s="254"/>
      <c r="AH63" s="254"/>
    </row>
    <row r="64" spans="1:34" s="5" customFormat="1" ht="42" customHeight="1" x14ac:dyDescent="0.55000000000000004">
      <c r="A64" s="365"/>
      <c r="B64" s="77" t="s">
        <v>314</v>
      </c>
      <c r="C64" s="209">
        <v>24</v>
      </c>
      <c r="D64" s="79" t="s">
        <v>316</v>
      </c>
      <c r="E64" s="208"/>
      <c r="F64" s="238">
        <v>10</v>
      </c>
      <c r="G64" s="254"/>
      <c r="H64" s="254"/>
      <c r="I64" s="254"/>
      <c r="J64" s="254"/>
      <c r="K64" s="254"/>
      <c r="L64" s="254"/>
      <c r="M64" s="254"/>
      <c r="N64" s="254"/>
      <c r="O64" s="254"/>
      <c r="P64" s="254"/>
      <c r="Q64" s="254"/>
      <c r="R64" s="254"/>
      <c r="S64" s="254"/>
      <c r="T64" s="254"/>
      <c r="U64" s="254"/>
      <c r="V64" s="254"/>
      <c r="W64" s="254"/>
      <c r="X64" s="254"/>
      <c r="Y64" s="254"/>
      <c r="Z64" s="254"/>
      <c r="AA64" s="254"/>
      <c r="AB64" s="254"/>
      <c r="AC64" s="254"/>
      <c r="AD64" s="254"/>
      <c r="AE64" s="254"/>
      <c r="AF64" s="254"/>
      <c r="AG64" s="254"/>
      <c r="AH64" s="254"/>
    </row>
    <row r="65" spans="1:34" s="5" customFormat="1" ht="31.5" customHeight="1" x14ac:dyDescent="0.55000000000000004">
      <c r="A65" s="366"/>
      <c r="B65" s="51" t="s">
        <v>24</v>
      </c>
      <c r="C65" s="203">
        <v>25</v>
      </c>
      <c r="D65" s="22" t="s">
        <v>317</v>
      </c>
      <c r="E65" s="207"/>
      <c r="F65" s="233">
        <v>15</v>
      </c>
      <c r="G65" s="254"/>
      <c r="H65" s="254"/>
      <c r="I65" s="254"/>
      <c r="J65" s="254"/>
      <c r="K65" s="254"/>
      <c r="L65" s="254"/>
      <c r="M65" s="254"/>
      <c r="N65" s="254"/>
      <c r="O65" s="254"/>
      <c r="P65" s="254"/>
      <c r="Q65" s="254"/>
      <c r="R65" s="254"/>
      <c r="S65" s="254"/>
      <c r="T65" s="254"/>
      <c r="U65" s="254"/>
      <c r="V65" s="254"/>
      <c r="W65" s="254"/>
      <c r="X65" s="254"/>
      <c r="Y65" s="254"/>
      <c r="Z65" s="254"/>
      <c r="AA65" s="254"/>
      <c r="AB65" s="254"/>
      <c r="AC65" s="254"/>
      <c r="AD65" s="254"/>
      <c r="AE65" s="254"/>
      <c r="AF65" s="254"/>
      <c r="AG65" s="254"/>
      <c r="AH65" s="254"/>
    </row>
    <row r="66" spans="1:34" s="5" customFormat="1" ht="30" customHeight="1" x14ac:dyDescent="0.55000000000000004">
      <c r="A66" s="367" t="s">
        <v>50</v>
      </c>
      <c r="B66" s="369" t="s">
        <v>51</v>
      </c>
      <c r="C66" s="370"/>
      <c r="D66" s="370"/>
      <c r="E66" s="58"/>
      <c r="F66" s="239" t="s">
        <v>52</v>
      </c>
      <c r="G66" s="254"/>
      <c r="H66" s="254"/>
      <c r="I66" s="254"/>
      <c r="J66" s="254"/>
      <c r="K66" s="254"/>
      <c r="L66" s="254"/>
      <c r="M66" s="254"/>
      <c r="N66" s="254"/>
      <c r="O66" s="254"/>
      <c r="P66" s="254"/>
      <c r="Q66" s="254"/>
      <c r="R66" s="254"/>
      <c r="S66" s="254"/>
      <c r="T66" s="254"/>
      <c r="U66" s="254"/>
      <c r="V66" s="254"/>
      <c r="W66" s="254"/>
      <c r="X66" s="254"/>
      <c r="Y66" s="254"/>
      <c r="Z66" s="254"/>
      <c r="AA66" s="254"/>
      <c r="AB66" s="254"/>
      <c r="AC66" s="254"/>
      <c r="AD66" s="254"/>
      <c r="AE66" s="254"/>
      <c r="AF66" s="254"/>
      <c r="AG66" s="254"/>
      <c r="AH66" s="254"/>
    </row>
    <row r="67" spans="1:34" s="5" customFormat="1" ht="30" customHeight="1" x14ac:dyDescent="0.55000000000000004">
      <c r="A67" s="368"/>
      <c r="B67" s="371"/>
      <c r="C67" s="372"/>
      <c r="D67" s="372"/>
      <c r="E67" s="60"/>
      <c r="F67" s="240">
        <f>SUM(F68:F75,F78,F79:F81)</f>
        <v>120</v>
      </c>
      <c r="G67" s="254"/>
      <c r="H67" s="254"/>
      <c r="I67" s="254"/>
      <c r="J67" s="254"/>
      <c r="K67" s="254"/>
      <c r="L67" s="254"/>
      <c r="M67" s="254"/>
      <c r="N67" s="254"/>
      <c r="O67" s="254"/>
      <c r="P67" s="254"/>
      <c r="Q67" s="254"/>
      <c r="R67" s="254"/>
      <c r="S67" s="254"/>
      <c r="T67" s="254"/>
      <c r="U67" s="254"/>
      <c r="V67" s="254"/>
      <c r="W67" s="254"/>
      <c r="X67" s="254"/>
      <c r="Y67" s="254"/>
      <c r="Z67" s="254"/>
      <c r="AA67" s="254"/>
      <c r="AB67" s="254"/>
      <c r="AC67" s="254"/>
      <c r="AD67" s="254"/>
      <c r="AE67" s="254"/>
      <c r="AF67" s="254"/>
      <c r="AG67" s="254"/>
      <c r="AH67" s="254"/>
    </row>
    <row r="68" spans="1:34" s="5" customFormat="1" ht="50.1" customHeight="1" x14ac:dyDescent="0.55000000000000004">
      <c r="A68" s="373" t="s">
        <v>318</v>
      </c>
      <c r="B68" s="47" t="s">
        <v>24</v>
      </c>
      <c r="C68" s="25">
        <v>26</v>
      </c>
      <c r="D68" s="17" t="s">
        <v>53</v>
      </c>
      <c r="E68" s="47"/>
      <c r="F68" s="231">
        <v>10</v>
      </c>
      <c r="G68" s="254"/>
      <c r="H68" s="254"/>
      <c r="I68" s="254"/>
      <c r="J68" s="254"/>
      <c r="K68" s="254"/>
      <c r="L68" s="254"/>
      <c r="M68" s="254"/>
      <c r="N68" s="254"/>
      <c r="O68" s="254"/>
      <c r="P68" s="254"/>
      <c r="Q68" s="254"/>
      <c r="R68" s="254"/>
      <c r="S68" s="254"/>
      <c r="T68" s="254"/>
      <c r="U68" s="254"/>
      <c r="V68" s="254"/>
      <c r="W68" s="254"/>
      <c r="X68" s="254"/>
      <c r="Y68" s="254"/>
      <c r="Z68" s="254"/>
      <c r="AA68" s="254"/>
      <c r="AB68" s="254"/>
      <c r="AC68" s="254"/>
      <c r="AD68" s="254"/>
      <c r="AE68" s="254"/>
      <c r="AF68" s="254"/>
      <c r="AG68" s="254"/>
      <c r="AH68" s="254"/>
    </row>
    <row r="69" spans="1:34" s="5" customFormat="1" ht="38.1" customHeight="1" x14ac:dyDescent="0.55000000000000004">
      <c r="A69" s="374"/>
      <c r="B69" s="49" t="s">
        <v>24</v>
      </c>
      <c r="C69" s="50">
        <v>27</v>
      </c>
      <c r="D69" s="20" t="s">
        <v>54</v>
      </c>
      <c r="E69" s="49"/>
      <c r="F69" s="234">
        <v>10</v>
      </c>
      <c r="G69" s="254"/>
      <c r="H69" s="254"/>
      <c r="I69" s="254"/>
      <c r="J69" s="254"/>
      <c r="K69" s="254"/>
      <c r="L69" s="254"/>
      <c r="M69" s="254"/>
      <c r="N69" s="254"/>
      <c r="O69" s="254"/>
      <c r="P69" s="254"/>
      <c r="Q69" s="254"/>
      <c r="R69" s="254"/>
      <c r="S69" s="254"/>
      <c r="T69" s="254"/>
      <c r="U69" s="254"/>
      <c r="V69" s="254"/>
      <c r="W69" s="254"/>
      <c r="X69" s="254"/>
      <c r="Y69" s="254"/>
      <c r="Z69" s="254"/>
      <c r="AA69" s="254"/>
      <c r="AB69" s="254"/>
      <c r="AC69" s="254"/>
      <c r="AD69" s="254"/>
      <c r="AE69" s="254"/>
      <c r="AF69" s="254"/>
      <c r="AG69" s="254"/>
      <c r="AH69" s="254"/>
    </row>
    <row r="70" spans="1:34" s="5" customFormat="1" ht="38.1" customHeight="1" x14ac:dyDescent="0.55000000000000004">
      <c r="A70" s="374"/>
      <c r="B70" s="49" t="s">
        <v>24</v>
      </c>
      <c r="C70" s="50">
        <v>28</v>
      </c>
      <c r="D70" s="20" t="s">
        <v>55</v>
      </c>
      <c r="E70" s="49"/>
      <c r="F70" s="234">
        <v>10</v>
      </c>
      <c r="G70" s="254"/>
      <c r="H70" s="254"/>
      <c r="I70" s="254"/>
      <c r="J70" s="254"/>
      <c r="K70" s="254"/>
      <c r="L70" s="254"/>
      <c r="M70" s="254"/>
      <c r="N70" s="254"/>
      <c r="O70" s="254"/>
      <c r="P70" s="254"/>
      <c r="Q70" s="254"/>
      <c r="R70" s="254"/>
      <c r="S70" s="254"/>
      <c r="T70" s="254"/>
      <c r="U70" s="254"/>
      <c r="V70" s="254"/>
      <c r="W70" s="254"/>
      <c r="X70" s="254"/>
      <c r="Y70" s="254"/>
      <c r="Z70" s="254"/>
      <c r="AA70" s="254"/>
      <c r="AB70" s="254"/>
      <c r="AC70" s="254"/>
      <c r="AD70" s="254"/>
      <c r="AE70" s="254"/>
      <c r="AF70" s="254"/>
      <c r="AG70" s="254"/>
      <c r="AH70" s="254"/>
    </row>
    <row r="71" spans="1:34" s="5" customFormat="1" ht="65.099999999999994" customHeight="1" x14ac:dyDescent="0.55000000000000004">
      <c r="A71" s="374"/>
      <c r="B71" s="49" t="s">
        <v>24</v>
      </c>
      <c r="C71" s="50">
        <v>29</v>
      </c>
      <c r="D71" s="20" t="s">
        <v>56</v>
      </c>
      <c r="E71" s="49"/>
      <c r="F71" s="234">
        <v>10</v>
      </c>
      <c r="G71" s="254"/>
      <c r="H71" s="254"/>
      <c r="I71" s="254"/>
      <c r="J71" s="254"/>
      <c r="K71" s="254"/>
      <c r="L71" s="254"/>
      <c r="M71" s="254"/>
      <c r="N71" s="254"/>
      <c r="O71" s="254"/>
      <c r="P71" s="254"/>
      <c r="Q71" s="254"/>
      <c r="R71" s="254"/>
      <c r="S71" s="254"/>
      <c r="T71" s="254"/>
      <c r="U71" s="254"/>
      <c r="V71" s="254"/>
      <c r="W71" s="254"/>
      <c r="X71" s="254"/>
      <c r="Y71" s="254"/>
      <c r="Z71" s="254"/>
      <c r="AA71" s="254"/>
      <c r="AB71" s="254"/>
      <c r="AC71" s="254"/>
      <c r="AD71" s="254"/>
      <c r="AE71" s="254"/>
      <c r="AF71" s="254"/>
      <c r="AG71" s="254"/>
      <c r="AH71" s="254"/>
    </row>
    <row r="72" spans="1:34" s="5" customFormat="1" ht="38.1" customHeight="1" x14ac:dyDescent="0.55000000000000004">
      <c r="A72" s="374"/>
      <c r="B72" s="49" t="s">
        <v>24</v>
      </c>
      <c r="C72" s="50">
        <v>30</v>
      </c>
      <c r="D72" s="20" t="s">
        <v>57</v>
      </c>
      <c r="E72" s="49"/>
      <c r="F72" s="234">
        <v>5</v>
      </c>
      <c r="G72" s="254"/>
      <c r="H72" s="254"/>
      <c r="I72" s="254"/>
      <c r="J72" s="254"/>
      <c r="K72" s="254"/>
      <c r="L72" s="254"/>
      <c r="M72" s="254"/>
      <c r="N72" s="254"/>
      <c r="O72" s="254"/>
      <c r="P72" s="254"/>
      <c r="Q72" s="254"/>
      <c r="R72" s="254"/>
      <c r="S72" s="254"/>
      <c r="T72" s="254"/>
      <c r="U72" s="254"/>
      <c r="V72" s="254"/>
      <c r="W72" s="254"/>
      <c r="X72" s="254"/>
      <c r="Y72" s="254"/>
      <c r="Z72" s="254"/>
      <c r="AA72" s="254"/>
      <c r="AB72" s="254"/>
      <c r="AC72" s="254"/>
      <c r="AD72" s="254"/>
      <c r="AE72" s="254"/>
      <c r="AF72" s="254"/>
      <c r="AG72" s="254"/>
      <c r="AH72" s="254"/>
    </row>
    <row r="73" spans="1:34" s="5" customFormat="1" ht="38.1" customHeight="1" x14ac:dyDescent="0.55000000000000004">
      <c r="A73" s="375"/>
      <c r="B73" s="51" t="s">
        <v>24</v>
      </c>
      <c r="C73" s="28">
        <v>31</v>
      </c>
      <c r="D73" s="22" t="s">
        <v>58</v>
      </c>
      <c r="E73" s="51"/>
      <c r="F73" s="233">
        <v>5</v>
      </c>
      <c r="G73" s="254"/>
      <c r="H73" s="254"/>
      <c r="I73" s="254"/>
      <c r="J73" s="254"/>
      <c r="K73" s="254"/>
      <c r="L73" s="254"/>
      <c r="M73" s="254"/>
      <c r="N73" s="254"/>
      <c r="O73" s="254"/>
      <c r="P73" s="254"/>
      <c r="Q73" s="254"/>
      <c r="R73" s="254"/>
      <c r="S73" s="254"/>
      <c r="T73" s="254"/>
      <c r="U73" s="254"/>
      <c r="V73" s="254"/>
      <c r="W73" s="254"/>
      <c r="X73" s="254"/>
      <c r="Y73" s="254"/>
      <c r="Z73" s="254"/>
      <c r="AA73" s="254"/>
      <c r="AB73" s="254"/>
      <c r="AC73" s="254"/>
      <c r="AD73" s="254"/>
      <c r="AE73" s="254"/>
      <c r="AF73" s="254"/>
      <c r="AG73" s="254"/>
      <c r="AH73" s="254"/>
    </row>
    <row r="74" spans="1:34" s="5" customFormat="1" ht="38.1" customHeight="1" x14ac:dyDescent="0.55000000000000004">
      <c r="A74" s="373" t="s">
        <v>319</v>
      </c>
      <c r="B74" s="47" t="s">
        <v>24</v>
      </c>
      <c r="C74" s="25">
        <v>32</v>
      </c>
      <c r="D74" s="17" t="s">
        <v>59</v>
      </c>
      <c r="E74" s="47"/>
      <c r="F74" s="231">
        <v>10</v>
      </c>
      <c r="G74" s="254"/>
      <c r="H74" s="254"/>
      <c r="I74" s="254"/>
      <c r="J74" s="254"/>
      <c r="K74" s="254"/>
      <c r="L74" s="254"/>
      <c r="M74" s="254"/>
      <c r="N74" s="254"/>
      <c r="O74" s="254"/>
      <c r="P74" s="254"/>
      <c r="Q74" s="254"/>
      <c r="R74" s="254"/>
      <c r="S74" s="254"/>
      <c r="T74" s="254"/>
      <c r="U74" s="254"/>
      <c r="V74" s="254"/>
      <c r="W74" s="254"/>
      <c r="X74" s="254"/>
      <c r="Y74" s="254"/>
      <c r="Z74" s="254"/>
      <c r="AA74" s="254"/>
      <c r="AB74" s="254"/>
      <c r="AC74" s="254"/>
      <c r="AD74" s="254"/>
      <c r="AE74" s="254"/>
      <c r="AF74" s="254"/>
      <c r="AG74" s="254"/>
      <c r="AH74" s="254"/>
    </row>
    <row r="75" spans="1:34" s="5" customFormat="1" ht="38.1" customHeight="1" x14ac:dyDescent="0.55000000000000004">
      <c r="A75" s="374"/>
      <c r="B75" s="49" t="s">
        <v>24</v>
      </c>
      <c r="C75" s="50">
        <v>33</v>
      </c>
      <c r="D75" s="20" t="s">
        <v>60</v>
      </c>
      <c r="E75" s="49"/>
      <c r="F75" s="234">
        <v>10</v>
      </c>
      <c r="G75" s="254"/>
      <c r="H75" s="254"/>
      <c r="I75" s="254"/>
      <c r="J75" s="254"/>
      <c r="K75" s="254"/>
      <c r="L75" s="254"/>
      <c r="M75" s="254"/>
      <c r="N75" s="254"/>
      <c r="O75" s="254"/>
      <c r="P75" s="254"/>
      <c r="Q75" s="254"/>
      <c r="R75" s="254"/>
      <c r="S75" s="254"/>
      <c r="T75" s="254"/>
      <c r="U75" s="254"/>
      <c r="V75" s="254"/>
      <c r="W75" s="254"/>
      <c r="X75" s="254"/>
      <c r="Y75" s="254"/>
      <c r="Z75" s="254"/>
      <c r="AA75" s="254"/>
      <c r="AB75" s="254"/>
      <c r="AC75" s="254"/>
      <c r="AD75" s="254"/>
      <c r="AE75" s="254"/>
      <c r="AF75" s="254"/>
      <c r="AG75" s="254"/>
      <c r="AH75" s="254"/>
    </row>
    <row r="76" spans="1:34" s="5" customFormat="1" ht="30" customHeight="1" x14ac:dyDescent="0.55000000000000004">
      <c r="A76" s="374"/>
      <c r="B76" s="49" t="s">
        <v>24</v>
      </c>
      <c r="C76" s="50">
        <v>34</v>
      </c>
      <c r="D76" s="20" t="s">
        <v>61</v>
      </c>
      <c r="E76" s="445" t="s">
        <v>62</v>
      </c>
      <c r="F76" s="234">
        <v>10</v>
      </c>
      <c r="G76" s="254"/>
      <c r="H76" s="254"/>
      <c r="I76" s="254"/>
      <c r="J76" s="254"/>
      <c r="K76" s="254"/>
      <c r="L76" s="254"/>
      <c r="M76" s="254"/>
      <c r="N76" s="254"/>
      <c r="O76" s="254"/>
      <c r="P76" s="254"/>
      <c r="Q76" s="254"/>
      <c r="R76" s="254"/>
      <c r="S76" s="254"/>
      <c r="T76" s="254"/>
      <c r="U76" s="254"/>
      <c r="V76" s="254"/>
      <c r="W76" s="254"/>
      <c r="X76" s="254"/>
      <c r="Y76" s="254"/>
      <c r="Z76" s="254"/>
      <c r="AA76" s="254"/>
      <c r="AB76" s="254"/>
      <c r="AC76" s="254"/>
      <c r="AD76" s="254"/>
      <c r="AE76" s="254"/>
      <c r="AF76" s="254"/>
      <c r="AG76" s="254"/>
      <c r="AH76" s="254"/>
    </row>
    <row r="77" spans="1:34" s="5" customFormat="1" ht="50.1" customHeight="1" x14ac:dyDescent="0.55000000000000004">
      <c r="A77" s="374"/>
      <c r="B77" s="49" t="s">
        <v>24</v>
      </c>
      <c r="C77" s="50">
        <v>35</v>
      </c>
      <c r="D77" s="20" t="s">
        <v>63</v>
      </c>
      <c r="E77" s="445"/>
      <c r="F77" s="234">
        <v>15</v>
      </c>
      <c r="G77" s="254"/>
      <c r="H77" s="254"/>
      <c r="I77" s="254"/>
      <c r="J77" s="254"/>
      <c r="K77" s="254"/>
      <c r="L77" s="254"/>
      <c r="M77" s="254"/>
      <c r="N77" s="254"/>
      <c r="O77" s="254"/>
      <c r="P77" s="254"/>
      <c r="Q77" s="254"/>
      <c r="R77" s="254"/>
      <c r="S77" s="254"/>
      <c r="T77" s="254"/>
      <c r="U77" s="254"/>
      <c r="V77" s="254"/>
      <c r="W77" s="254"/>
      <c r="X77" s="254"/>
      <c r="Y77" s="254"/>
      <c r="Z77" s="254"/>
      <c r="AA77" s="254"/>
      <c r="AB77" s="254"/>
      <c r="AC77" s="254"/>
      <c r="AD77" s="254"/>
      <c r="AE77" s="254"/>
      <c r="AF77" s="254"/>
      <c r="AG77" s="254"/>
      <c r="AH77" s="254"/>
    </row>
    <row r="78" spans="1:34" s="5" customFormat="1" ht="38.1" customHeight="1" x14ac:dyDescent="0.55000000000000004">
      <c r="A78" s="375"/>
      <c r="B78" s="49" t="s">
        <v>24</v>
      </c>
      <c r="C78" s="28">
        <v>36</v>
      </c>
      <c r="D78" s="22" t="s">
        <v>64</v>
      </c>
      <c r="E78" s="446"/>
      <c r="F78" s="233">
        <v>20</v>
      </c>
      <c r="G78" s="254"/>
      <c r="H78" s="254"/>
      <c r="I78" s="254"/>
      <c r="J78" s="254"/>
      <c r="K78" s="254"/>
      <c r="L78" s="254"/>
      <c r="M78" s="254"/>
      <c r="N78" s="254"/>
      <c r="O78" s="254"/>
      <c r="P78" s="254"/>
      <c r="Q78" s="254"/>
      <c r="R78" s="254"/>
      <c r="S78" s="254"/>
      <c r="T78" s="254"/>
      <c r="U78" s="254"/>
      <c r="V78" s="254"/>
      <c r="W78" s="254"/>
      <c r="X78" s="254"/>
      <c r="Y78" s="254"/>
      <c r="Z78" s="254"/>
      <c r="AA78" s="254"/>
      <c r="AB78" s="254"/>
      <c r="AC78" s="254"/>
      <c r="AD78" s="254"/>
      <c r="AE78" s="254"/>
      <c r="AF78" s="254"/>
      <c r="AG78" s="254"/>
      <c r="AH78" s="254"/>
    </row>
    <row r="79" spans="1:34" s="5" customFormat="1" ht="38.1" customHeight="1" x14ac:dyDescent="0.55000000000000004">
      <c r="A79" s="470" t="s">
        <v>320</v>
      </c>
      <c r="B79" s="47" t="s">
        <v>24</v>
      </c>
      <c r="C79" s="25">
        <v>37</v>
      </c>
      <c r="D79" s="17" t="s">
        <v>65</v>
      </c>
      <c r="E79" s="47"/>
      <c r="F79" s="231">
        <v>10</v>
      </c>
      <c r="G79" s="254"/>
      <c r="H79" s="254"/>
      <c r="I79" s="254"/>
      <c r="J79" s="254"/>
      <c r="K79" s="254"/>
      <c r="L79" s="254"/>
      <c r="M79" s="254"/>
      <c r="N79" s="254"/>
      <c r="O79" s="254"/>
      <c r="P79" s="254"/>
      <c r="Q79" s="254"/>
      <c r="R79" s="254"/>
      <c r="S79" s="254"/>
      <c r="T79" s="254"/>
      <c r="U79" s="254"/>
      <c r="V79" s="254"/>
      <c r="W79" s="254"/>
      <c r="X79" s="254"/>
      <c r="Y79" s="254"/>
      <c r="Z79" s="254"/>
      <c r="AA79" s="254"/>
      <c r="AB79" s="254"/>
      <c r="AC79" s="254"/>
      <c r="AD79" s="254"/>
      <c r="AE79" s="254"/>
      <c r="AF79" s="254"/>
      <c r="AG79" s="254"/>
      <c r="AH79" s="254"/>
    </row>
    <row r="80" spans="1:34" s="5" customFormat="1" ht="38.1" customHeight="1" x14ac:dyDescent="0.55000000000000004">
      <c r="A80" s="471"/>
      <c r="B80" s="49" t="s">
        <v>24</v>
      </c>
      <c r="C80" s="50">
        <v>38</v>
      </c>
      <c r="D80" s="20" t="s">
        <v>349</v>
      </c>
      <c r="E80" s="49"/>
      <c r="F80" s="234">
        <v>10</v>
      </c>
      <c r="G80" s="254"/>
      <c r="H80" s="254"/>
      <c r="I80" s="254"/>
      <c r="J80" s="254"/>
      <c r="K80" s="254"/>
      <c r="L80" s="254"/>
      <c r="M80" s="254"/>
      <c r="N80" s="254"/>
      <c r="O80" s="254"/>
      <c r="P80" s="254"/>
      <c r="Q80" s="254"/>
      <c r="R80" s="254"/>
      <c r="S80" s="254"/>
      <c r="T80" s="254"/>
      <c r="U80" s="254"/>
      <c r="V80" s="254"/>
      <c r="W80" s="254"/>
      <c r="X80" s="254"/>
      <c r="Y80" s="254"/>
      <c r="Z80" s="254"/>
      <c r="AA80" s="254"/>
      <c r="AB80" s="254"/>
      <c r="AC80" s="254"/>
      <c r="AD80" s="254"/>
      <c r="AE80" s="254"/>
      <c r="AF80" s="254"/>
      <c r="AG80" s="254"/>
      <c r="AH80" s="254"/>
    </row>
    <row r="81" spans="1:34" s="5" customFormat="1" ht="38.1" customHeight="1" x14ac:dyDescent="0.55000000000000004">
      <c r="A81" s="472"/>
      <c r="B81" s="51" t="s">
        <v>24</v>
      </c>
      <c r="C81" s="28">
        <v>39</v>
      </c>
      <c r="D81" s="22" t="s">
        <v>355</v>
      </c>
      <c r="E81" s="51"/>
      <c r="F81" s="233">
        <v>10</v>
      </c>
      <c r="G81" s="254"/>
      <c r="H81" s="254"/>
      <c r="I81" s="254"/>
      <c r="J81" s="254"/>
      <c r="K81" s="254"/>
      <c r="L81" s="254"/>
      <c r="M81" s="254"/>
      <c r="N81" s="254"/>
      <c r="O81" s="254"/>
      <c r="P81" s="254"/>
      <c r="Q81" s="254"/>
      <c r="R81" s="254"/>
      <c r="S81" s="254"/>
      <c r="T81" s="254"/>
      <c r="U81" s="254"/>
      <c r="V81" s="254"/>
      <c r="W81" s="254"/>
      <c r="X81" s="254"/>
      <c r="Y81" s="254"/>
      <c r="Z81" s="254"/>
      <c r="AA81" s="254"/>
      <c r="AB81" s="254"/>
      <c r="AC81" s="254"/>
      <c r="AD81" s="254"/>
      <c r="AE81" s="254"/>
      <c r="AF81" s="254"/>
      <c r="AG81" s="254"/>
      <c r="AH81" s="254"/>
    </row>
    <row r="82" spans="1:34" s="5" customFormat="1" ht="30" customHeight="1" x14ac:dyDescent="0.55000000000000004">
      <c r="A82" s="473" t="s">
        <v>66</v>
      </c>
      <c r="B82" s="475" t="s">
        <v>67</v>
      </c>
      <c r="C82" s="476"/>
      <c r="D82" s="476"/>
      <c r="E82" s="63"/>
      <c r="F82" s="241" t="s">
        <v>52</v>
      </c>
      <c r="G82" s="254"/>
      <c r="H82" s="254"/>
      <c r="I82" s="254"/>
      <c r="J82" s="254"/>
      <c r="K82" s="254"/>
      <c r="L82" s="254"/>
      <c r="M82" s="254"/>
      <c r="N82" s="254"/>
      <c r="O82" s="254"/>
      <c r="P82" s="254"/>
      <c r="Q82" s="254"/>
      <c r="R82" s="254"/>
      <c r="S82" s="254"/>
      <c r="T82" s="254"/>
      <c r="U82" s="254"/>
      <c r="V82" s="254"/>
      <c r="W82" s="254"/>
      <c r="X82" s="254"/>
      <c r="Y82" s="254"/>
      <c r="Z82" s="254"/>
      <c r="AA82" s="254"/>
      <c r="AB82" s="254"/>
      <c r="AC82" s="254"/>
      <c r="AD82" s="254"/>
      <c r="AE82" s="254"/>
      <c r="AF82" s="254"/>
      <c r="AG82" s="254"/>
      <c r="AH82" s="254"/>
    </row>
    <row r="83" spans="1:34" s="5" customFormat="1" ht="30" customHeight="1" x14ac:dyDescent="0.55000000000000004">
      <c r="A83" s="474"/>
      <c r="B83" s="477"/>
      <c r="C83" s="478"/>
      <c r="D83" s="478"/>
      <c r="E83" s="65"/>
      <c r="F83" s="242">
        <f>SUM(F84:F96)</f>
        <v>100</v>
      </c>
      <c r="G83" s="254"/>
      <c r="H83" s="254"/>
      <c r="I83" s="254"/>
      <c r="J83" s="254"/>
      <c r="K83" s="254"/>
      <c r="L83" s="254"/>
      <c r="M83" s="254"/>
      <c r="N83" s="254"/>
      <c r="O83" s="254"/>
      <c r="P83" s="254"/>
      <c r="Q83" s="254"/>
      <c r="R83" s="254"/>
      <c r="S83" s="254"/>
      <c r="T83" s="254"/>
      <c r="U83" s="254"/>
      <c r="V83" s="254"/>
      <c r="W83" s="254"/>
      <c r="X83" s="254"/>
      <c r="Y83" s="254"/>
      <c r="Z83" s="254"/>
      <c r="AA83" s="254"/>
      <c r="AB83" s="254"/>
      <c r="AC83" s="254"/>
      <c r="AD83" s="254"/>
      <c r="AE83" s="254"/>
      <c r="AF83" s="254"/>
      <c r="AG83" s="254"/>
      <c r="AH83" s="254"/>
    </row>
    <row r="84" spans="1:34" s="5" customFormat="1" ht="38.1" customHeight="1" x14ac:dyDescent="0.55000000000000004">
      <c r="A84" s="456" t="s">
        <v>321</v>
      </c>
      <c r="B84" s="47" t="s">
        <v>24</v>
      </c>
      <c r="C84" s="62">
        <v>40</v>
      </c>
      <c r="D84" s="17" t="s">
        <v>360</v>
      </c>
      <c r="E84" s="47"/>
      <c r="F84" s="231">
        <v>5</v>
      </c>
      <c r="G84" s="254"/>
      <c r="H84" s="254"/>
      <c r="I84" s="254"/>
      <c r="J84" s="254"/>
      <c r="K84" s="254"/>
      <c r="L84" s="254"/>
      <c r="M84" s="254"/>
      <c r="N84" s="254"/>
      <c r="O84" s="254"/>
      <c r="P84" s="254"/>
      <c r="Q84" s="254"/>
      <c r="R84" s="254"/>
      <c r="S84" s="254"/>
      <c r="T84" s="254"/>
      <c r="U84" s="254"/>
      <c r="V84" s="254"/>
      <c r="W84" s="254"/>
      <c r="X84" s="254"/>
      <c r="Y84" s="254"/>
      <c r="Z84" s="254"/>
      <c r="AA84" s="254"/>
      <c r="AB84" s="254"/>
      <c r="AC84" s="254"/>
      <c r="AD84" s="254"/>
      <c r="AE84" s="254"/>
      <c r="AF84" s="254"/>
      <c r="AG84" s="254"/>
      <c r="AH84" s="254"/>
    </row>
    <row r="85" spans="1:34" s="5" customFormat="1" ht="30" customHeight="1" x14ac:dyDescent="0.55000000000000004">
      <c r="A85" s="457"/>
      <c r="B85" s="49" t="s">
        <v>24</v>
      </c>
      <c r="C85" s="50">
        <v>41</v>
      </c>
      <c r="D85" s="20" t="s">
        <v>68</v>
      </c>
      <c r="E85" s="49"/>
      <c r="F85" s="234">
        <v>5</v>
      </c>
      <c r="G85" s="254"/>
      <c r="H85" s="254"/>
      <c r="I85" s="254"/>
      <c r="J85" s="254"/>
      <c r="K85" s="254"/>
      <c r="L85" s="254"/>
      <c r="M85" s="254"/>
      <c r="N85" s="254"/>
      <c r="O85" s="254"/>
      <c r="P85" s="254"/>
      <c r="Q85" s="254"/>
      <c r="R85" s="254"/>
      <c r="S85" s="254"/>
      <c r="T85" s="254"/>
      <c r="U85" s="254"/>
      <c r="V85" s="254"/>
      <c r="W85" s="254"/>
      <c r="X85" s="254"/>
      <c r="Y85" s="254"/>
      <c r="Z85" s="254"/>
      <c r="AA85" s="254"/>
      <c r="AB85" s="254"/>
      <c r="AC85" s="254"/>
      <c r="AD85" s="254"/>
      <c r="AE85" s="254"/>
      <c r="AF85" s="254"/>
      <c r="AG85" s="254"/>
      <c r="AH85" s="254"/>
    </row>
    <row r="86" spans="1:34" s="5" customFormat="1" ht="30" customHeight="1" x14ac:dyDescent="0.55000000000000004">
      <c r="A86" s="457"/>
      <c r="B86" s="49" t="s">
        <v>24</v>
      </c>
      <c r="C86" s="50">
        <v>42</v>
      </c>
      <c r="D86" s="20" t="s">
        <v>272</v>
      </c>
      <c r="E86" s="49"/>
      <c r="F86" s="234">
        <v>10</v>
      </c>
      <c r="G86" s="254"/>
      <c r="H86" s="254"/>
      <c r="I86" s="254"/>
      <c r="J86" s="254"/>
      <c r="K86" s="254"/>
      <c r="L86" s="254"/>
      <c r="M86" s="254"/>
      <c r="N86" s="254"/>
      <c r="O86" s="254"/>
      <c r="P86" s="254"/>
      <c r="Q86" s="254"/>
      <c r="R86" s="254"/>
      <c r="S86" s="254"/>
      <c r="T86" s="254"/>
      <c r="U86" s="254"/>
      <c r="V86" s="254"/>
      <c r="W86" s="254"/>
      <c r="X86" s="254"/>
      <c r="Y86" s="254"/>
      <c r="Z86" s="254"/>
      <c r="AA86" s="254"/>
      <c r="AB86" s="254"/>
      <c r="AC86" s="254"/>
      <c r="AD86" s="254"/>
      <c r="AE86" s="254"/>
      <c r="AF86" s="254"/>
      <c r="AG86" s="254"/>
      <c r="AH86" s="254"/>
    </row>
    <row r="87" spans="1:34" s="5" customFormat="1" ht="38.1" customHeight="1" x14ac:dyDescent="0.55000000000000004">
      <c r="A87" s="458"/>
      <c r="B87" s="51" t="s">
        <v>24</v>
      </c>
      <c r="C87" s="28">
        <v>43</v>
      </c>
      <c r="D87" s="22" t="s">
        <v>529</v>
      </c>
      <c r="E87" s="51"/>
      <c r="F87" s="233">
        <v>10</v>
      </c>
      <c r="G87" s="254"/>
      <c r="H87" s="257"/>
      <c r="I87" s="254"/>
      <c r="J87" s="254"/>
      <c r="K87" s="254"/>
      <c r="L87" s="254"/>
      <c r="M87" s="254"/>
      <c r="N87" s="254"/>
      <c r="O87" s="254"/>
      <c r="P87" s="254"/>
      <c r="Q87" s="254"/>
      <c r="R87" s="254"/>
      <c r="S87" s="254"/>
      <c r="T87" s="254"/>
      <c r="U87" s="254"/>
      <c r="V87" s="254"/>
      <c r="W87" s="254"/>
      <c r="X87" s="254"/>
      <c r="Y87" s="254"/>
      <c r="Z87" s="254"/>
      <c r="AA87" s="254"/>
      <c r="AB87" s="254"/>
      <c r="AC87" s="254"/>
      <c r="AD87" s="254"/>
      <c r="AE87" s="254"/>
      <c r="AF87" s="254"/>
      <c r="AG87" s="254"/>
      <c r="AH87" s="254"/>
    </row>
    <row r="88" spans="1:34" s="5" customFormat="1" ht="38.1" customHeight="1" x14ac:dyDescent="0.55000000000000004">
      <c r="A88" s="456" t="s">
        <v>322</v>
      </c>
      <c r="B88" s="47" t="s">
        <v>24</v>
      </c>
      <c r="C88" s="25">
        <v>44</v>
      </c>
      <c r="D88" s="17" t="s">
        <v>527</v>
      </c>
      <c r="E88" s="47"/>
      <c r="F88" s="231">
        <v>10</v>
      </c>
      <c r="G88" s="254"/>
      <c r="H88" s="257"/>
      <c r="I88" s="254"/>
      <c r="J88" s="254"/>
      <c r="K88" s="254"/>
      <c r="L88" s="254"/>
      <c r="M88" s="254"/>
      <c r="N88" s="254"/>
      <c r="O88" s="254"/>
      <c r="P88" s="254"/>
      <c r="Q88" s="254"/>
      <c r="R88" s="254"/>
      <c r="S88" s="254"/>
      <c r="T88" s="254"/>
      <c r="U88" s="254"/>
      <c r="V88" s="254"/>
      <c r="W88" s="254"/>
      <c r="X88" s="254"/>
      <c r="Y88" s="254"/>
      <c r="Z88" s="254"/>
      <c r="AA88" s="254"/>
      <c r="AB88" s="254"/>
      <c r="AC88" s="254"/>
      <c r="AD88" s="254"/>
      <c r="AE88" s="254"/>
      <c r="AF88" s="254"/>
      <c r="AG88" s="254"/>
      <c r="AH88" s="254"/>
    </row>
    <row r="89" spans="1:34" s="5" customFormat="1" ht="38.1" customHeight="1" x14ac:dyDescent="0.55000000000000004">
      <c r="A89" s="457"/>
      <c r="B89" s="49" t="s">
        <v>24</v>
      </c>
      <c r="C89" s="50">
        <v>45</v>
      </c>
      <c r="D89" s="20" t="s">
        <v>528</v>
      </c>
      <c r="E89" s="49"/>
      <c r="F89" s="234">
        <v>10</v>
      </c>
      <c r="G89" s="254"/>
      <c r="H89" s="257"/>
      <c r="I89" s="254"/>
      <c r="J89" s="254"/>
      <c r="K89" s="254"/>
      <c r="L89" s="254"/>
      <c r="M89" s="254"/>
      <c r="N89" s="254"/>
      <c r="O89" s="254"/>
      <c r="P89" s="254"/>
      <c r="Q89" s="254"/>
      <c r="R89" s="254"/>
      <c r="S89" s="254"/>
      <c r="T89" s="254"/>
      <c r="U89" s="254"/>
      <c r="V89" s="254"/>
      <c r="W89" s="254"/>
      <c r="X89" s="254"/>
      <c r="Y89" s="254"/>
      <c r="Z89" s="254"/>
      <c r="AA89" s="254"/>
      <c r="AB89" s="254"/>
      <c r="AC89" s="254"/>
      <c r="AD89" s="254"/>
      <c r="AE89" s="254"/>
      <c r="AF89" s="254"/>
      <c r="AG89" s="254"/>
      <c r="AH89" s="254"/>
    </row>
    <row r="90" spans="1:34" s="5" customFormat="1" ht="30" customHeight="1" x14ac:dyDescent="0.55000000000000004">
      <c r="A90" s="457"/>
      <c r="B90" s="49" t="s">
        <v>24</v>
      </c>
      <c r="C90" s="50">
        <v>46</v>
      </c>
      <c r="D90" s="20" t="s">
        <v>69</v>
      </c>
      <c r="E90" s="49"/>
      <c r="F90" s="234">
        <v>10</v>
      </c>
      <c r="G90" s="254"/>
      <c r="H90" s="257"/>
      <c r="I90" s="254"/>
      <c r="J90" s="254"/>
      <c r="K90" s="254"/>
      <c r="L90" s="254"/>
      <c r="M90" s="254"/>
      <c r="N90" s="254"/>
      <c r="O90" s="254"/>
      <c r="P90" s="254"/>
      <c r="Q90" s="254"/>
      <c r="R90" s="254"/>
      <c r="S90" s="254"/>
      <c r="T90" s="254"/>
      <c r="U90" s="254"/>
      <c r="V90" s="254"/>
      <c r="W90" s="254"/>
      <c r="X90" s="254"/>
      <c r="Y90" s="254"/>
      <c r="Z90" s="254"/>
      <c r="AA90" s="254"/>
      <c r="AB90" s="254"/>
      <c r="AC90" s="254"/>
      <c r="AD90" s="254"/>
      <c r="AE90" s="254"/>
      <c r="AF90" s="254"/>
      <c r="AG90" s="254"/>
      <c r="AH90" s="254"/>
    </row>
    <row r="91" spans="1:34" s="5" customFormat="1" ht="30" customHeight="1" x14ac:dyDescent="0.55000000000000004">
      <c r="A91" s="458"/>
      <c r="B91" s="51" t="s">
        <v>24</v>
      </c>
      <c r="C91" s="28">
        <v>47</v>
      </c>
      <c r="D91" s="22" t="s">
        <v>70</v>
      </c>
      <c r="E91" s="51"/>
      <c r="F91" s="233">
        <v>10</v>
      </c>
      <c r="G91" s="254"/>
      <c r="H91" s="257"/>
      <c r="I91" s="254"/>
      <c r="J91" s="254"/>
      <c r="K91" s="254"/>
      <c r="L91" s="254"/>
      <c r="M91" s="254"/>
      <c r="N91" s="254"/>
      <c r="O91" s="254"/>
      <c r="P91" s="254"/>
      <c r="Q91" s="254"/>
      <c r="R91" s="254"/>
      <c r="S91" s="254"/>
      <c r="T91" s="254"/>
      <c r="U91" s="254"/>
      <c r="V91" s="254"/>
      <c r="W91" s="254"/>
      <c r="X91" s="254"/>
      <c r="Y91" s="254"/>
      <c r="Z91" s="254"/>
      <c r="AA91" s="254"/>
      <c r="AB91" s="254"/>
      <c r="AC91" s="254"/>
      <c r="AD91" s="254"/>
      <c r="AE91" s="254"/>
      <c r="AF91" s="254"/>
      <c r="AG91" s="254"/>
      <c r="AH91" s="254"/>
    </row>
    <row r="92" spans="1:34" s="5" customFormat="1" ht="38.1" customHeight="1" x14ac:dyDescent="0.55000000000000004">
      <c r="A92" s="456" t="s">
        <v>323</v>
      </c>
      <c r="B92" s="47" t="s">
        <v>24</v>
      </c>
      <c r="C92" s="25">
        <v>48</v>
      </c>
      <c r="D92" s="17" t="s">
        <v>113</v>
      </c>
      <c r="E92" s="47"/>
      <c r="F92" s="231">
        <v>5</v>
      </c>
      <c r="G92" s="254"/>
      <c r="H92" s="257"/>
      <c r="I92" s="254"/>
      <c r="J92" s="254"/>
      <c r="K92" s="254"/>
      <c r="L92" s="254"/>
      <c r="M92" s="254"/>
      <c r="N92" s="254"/>
      <c r="O92" s="254"/>
      <c r="P92" s="254"/>
      <c r="Q92" s="254"/>
      <c r="R92" s="254"/>
      <c r="S92" s="254"/>
      <c r="T92" s="254"/>
      <c r="U92" s="254"/>
      <c r="V92" s="254"/>
      <c r="W92" s="254"/>
      <c r="X92" s="254"/>
      <c r="Y92" s="254"/>
      <c r="Z92" s="254"/>
      <c r="AA92" s="254"/>
      <c r="AB92" s="254"/>
      <c r="AC92" s="254"/>
      <c r="AD92" s="254"/>
      <c r="AE92" s="254"/>
      <c r="AF92" s="254"/>
      <c r="AG92" s="254"/>
      <c r="AH92" s="254"/>
    </row>
    <row r="93" spans="1:34" s="5" customFormat="1" ht="30" customHeight="1" x14ac:dyDescent="0.55000000000000004">
      <c r="A93" s="459"/>
      <c r="B93" s="49" t="s">
        <v>24</v>
      </c>
      <c r="C93" s="50">
        <v>49</v>
      </c>
      <c r="D93" s="20" t="s">
        <v>71</v>
      </c>
      <c r="E93" s="49"/>
      <c r="F93" s="234">
        <v>5</v>
      </c>
      <c r="G93" s="254"/>
      <c r="H93" s="257"/>
      <c r="I93" s="254"/>
      <c r="J93" s="254"/>
      <c r="K93" s="254"/>
      <c r="L93" s="254"/>
      <c r="M93" s="254"/>
      <c r="N93" s="254"/>
      <c r="O93" s="254"/>
      <c r="P93" s="254"/>
      <c r="Q93" s="254"/>
      <c r="R93" s="254"/>
      <c r="S93" s="254"/>
      <c r="T93" s="254"/>
      <c r="U93" s="254"/>
      <c r="V93" s="254"/>
      <c r="W93" s="254"/>
      <c r="X93" s="254"/>
      <c r="Y93" s="254"/>
      <c r="Z93" s="254"/>
      <c r="AA93" s="254"/>
      <c r="AB93" s="254"/>
      <c r="AC93" s="254"/>
      <c r="AD93" s="254"/>
      <c r="AE93" s="254"/>
      <c r="AF93" s="254"/>
      <c r="AG93" s="254"/>
      <c r="AH93" s="254"/>
    </row>
    <row r="94" spans="1:34" s="5" customFormat="1" ht="50.1" customHeight="1" x14ac:dyDescent="0.55000000000000004">
      <c r="A94" s="459"/>
      <c r="B94" s="49" t="s">
        <v>24</v>
      </c>
      <c r="C94" s="50">
        <v>50</v>
      </c>
      <c r="D94" s="20" t="s">
        <v>530</v>
      </c>
      <c r="E94" s="49"/>
      <c r="F94" s="234">
        <v>10</v>
      </c>
      <c r="G94" s="254"/>
      <c r="H94" s="257"/>
      <c r="I94" s="254"/>
      <c r="J94" s="254"/>
      <c r="K94" s="254"/>
      <c r="L94" s="254"/>
      <c r="M94" s="254"/>
      <c r="N94" s="254"/>
      <c r="O94" s="254"/>
      <c r="P94" s="254"/>
      <c r="Q94" s="254"/>
      <c r="R94" s="254"/>
      <c r="S94" s="254"/>
      <c r="T94" s="254"/>
      <c r="U94" s="254"/>
      <c r="V94" s="254"/>
      <c r="W94" s="254"/>
      <c r="X94" s="254"/>
      <c r="Y94" s="254"/>
      <c r="Z94" s="254"/>
      <c r="AA94" s="254"/>
      <c r="AB94" s="254"/>
      <c r="AC94" s="254"/>
      <c r="AD94" s="254"/>
      <c r="AE94" s="254"/>
      <c r="AF94" s="254"/>
      <c r="AG94" s="254"/>
      <c r="AH94" s="254"/>
    </row>
    <row r="95" spans="1:34" s="5" customFormat="1" ht="38.1" customHeight="1" x14ac:dyDescent="0.55000000000000004">
      <c r="A95" s="459"/>
      <c r="B95" s="49" t="s">
        <v>24</v>
      </c>
      <c r="C95" s="50">
        <v>51</v>
      </c>
      <c r="D95" s="20" t="s">
        <v>72</v>
      </c>
      <c r="E95" s="49"/>
      <c r="F95" s="234">
        <v>5</v>
      </c>
      <c r="G95" s="254"/>
      <c r="H95" s="257"/>
      <c r="I95" s="254"/>
      <c r="J95" s="254"/>
      <c r="K95" s="254"/>
      <c r="L95" s="254"/>
      <c r="M95" s="254"/>
      <c r="N95" s="254"/>
      <c r="O95" s="254"/>
      <c r="P95" s="254"/>
      <c r="Q95" s="254"/>
      <c r="R95" s="254"/>
      <c r="S95" s="254"/>
      <c r="T95" s="254"/>
      <c r="U95" s="254"/>
      <c r="V95" s="254"/>
      <c r="W95" s="254"/>
      <c r="X95" s="254"/>
      <c r="Y95" s="254"/>
      <c r="Z95" s="254"/>
      <c r="AA95" s="254"/>
      <c r="AB95" s="254"/>
      <c r="AC95" s="254"/>
      <c r="AD95" s="254"/>
      <c r="AE95" s="254"/>
      <c r="AF95" s="254"/>
      <c r="AG95" s="254"/>
      <c r="AH95" s="254"/>
    </row>
    <row r="96" spans="1:34" s="5" customFormat="1" ht="38.1" customHeight="1" x14ac:dyDescent="0.55000000000000004">
      <c r="A96" s="460"/>
      <c r="B96" s="51" t="s">
        <v>24</v>
      </c>
      <c r="C96" s="28">
        <v>52</v>
      </c>
      <c r="D96" s="22" t="s">
        <v>73</v>
      </c>
      <c r="E96" s="51"/>
      <c r="F96" s="233">
        <v>5</v>
      </c>
      <c r="G96" s="254"/>
      <c r="H96" s="257"/>
      <c r="I96" s="254"/>
      <c r="J96" s="254"/>
      <c r="K96" s="254"/>
      <c r="L96" s="254"/>
      <c r="M96" s="254"/>
      <c r="N96" s="254"/>
      <c r="O96" s="254"/>
      <c r="P96" s="254"/>
      <c r="Q96" s="254"/>
      <c r="R96" s="254"/>
      <c r="S96" s="254"/>
      <c r="T96" s="254"/>
      <c r="U96" s="254"/>
      <c r="V96" s="254"/>
      <c r="W96" s="254"/>
      <c r="X96" s="254"/>
      <c r="Y96" s="254"/>
      <c r="Z96" s="254"/>
      <c r="AA96" s="254"/>
      <c r="AB96" s="254"/>
      <c r="AC96" s="254"/>
      <c r="AD96" s="254"/>
      <c r="AE96" s="254"/>
      <c r="AF96" s="254"/>
      <c r="AG96" s="254"/>
      <c r="AH96" s="254"/>
    </row>
    <row r="97" spans="1:34" s="5" customFormat="1" ht="30" customHeight="1" x14ac:dyDescent="0.55000000000000004">
      <c r="A97" s="461" t="s">
        <v>74</v>
      </c>
      <c r="B97" s="463" t="s">
        <v>75</v>
      </c>
      <c r="C97" s="464"/>
      <c r="D97" s="464"/>
      <c r="E97" s="69"/>
      <c r="F97" s="243" t="s">
        <v>52</v>
      </c>
      <c r="G97" s="254"/>
      <c r="H97" s="257"/>
      <c r="I97" s="254"/>
      <c r="J97" s="254"/>
      <c r="K97" s="254"/>
      <c r="L97" s="254"/>
      <c r="M97" s="254"/>
      <c r="N97" s="254"/>
      <c r="O97" s="254"/>
      <c r="P97" s="254"/>
      <c r="Q97" s="254"/>
      <c r="R97" s="254"/>
      <c r="S97" s="254"/>
      <c r="T97" s="254"/>
      <c r="U97" s="254"/>
      <c r="V97" s="254"/>
      <c r="W97" s="254"/>
      <c r="X97" s="254"/>
      <c r="Y97" s="254"/>
      <c r="Z97" s="254"/>
      <c r="AA97" s="254"/>
      <c r="AB97" s="254"/>
      <c r="AC97" s="254"/>
      <c r="AD97" s="254"/>
      <c r="AE97" s="254"/>
      <c r="AF97" s="254"/>
      <c r="AG97" s="254"/>
      <c r="AH97" s="254"/>
    </row>
    <row r="98" spans="1:34" s="5" customFormat="1" ht="30" customHeight="1" x14ac:dyDescent="0.55000000000000004">
      <c r="A98" s="462"/>
      <c r="B98" s="465"/>
      <c r="C98" s="466"/>
      <c r="D98" s="466"/>
      <c r="E98" s="71"/>
      <c r="F98" s="244">
        <f>SUM(F99:F108,F115)</f>
        <v>150</v>
      </c>
      <c r="G98" s="254"/>
      <c r="H98" s="254"/>
      <c r="I98" s="254"/>
      <c r="J98" s="254"/>
      <c r="K98" s="254"/>
      <c r="L98" s="254"/>
      <c r="M98" s="254"/>
      <c r="N98" s="254"/>
      <c r="O98" s="254"/>
      <c r="P98" s="254"/>
      <c r="Q98" s="254"/>
      <c r="R98" s="254"/>
      <c r="S98" s="254"/>
      <c r="T98" s="254"/>
      <c r="U98" s="254"/>
      <c r="V98" s="254"/>
      <c r="W98" s="254"/>
      <c r="X98" s="254"/>
      <c r="Y98" s="254"/>
      <c r="Z98" s="254"/>
      <c r="AA98" s="254"/>
      <c r="AB98" s="254"/>
      <c r="AC98" s="254"/>
      <c r="AD98" s="254"/>
      <c r="AE98" s="254"/>
      <c r="AF98" s="254"/>
      <c r="AG98" s="254"/>
      <c r="AH98" s="254"/>
    </row>
    <row r="99" spans="1:34" s="5" customFormat="1" ht="38.1" customHeight="1" x14ac:dyDescent="0.55000000000000004">
      <c r="A99" s="467" t="s">
        <v>324</v>
      </c>
      <c r="B99" s="47" t="s">
        <v>24</v>
      </c>
      <c r="C99" s="25">
        <v>53</v>
      </c>
      <c r="D99" s="17" t="s">
        <v>76</v>
      </c>
      <c r="E99" s="47"/>
      <c r="F99" s="231">
        <v>10</v>
      </c>
      <c r="G99" s="254"/>
      <c r="H99" s="254"/>
      <c r="I99" s="254"/>
      <c r="J99" s="254"/>
      <c r="K99" s="254"/>
      <c r="L99" s="254"/>
      <c r="M99" s="254"/>
      <c r="N99" s="254"/>
      <c r="O99" s="254"/>
      <c r="P99" s="254"/>
      <c r="Q99" s="254"/>
      <c r="R99" s="254"/>
      <c r="S99" s="254"/>
      <c r="T99" s="254"/>
      <c r="U99" s="254"/>
      <c r="V99" s="254"/>
      <c r="W99" s="254"/>
      <c r="X99" s="254"/>
      <c r="Y99" s="254"/>
      <c r="Z99" s="254"/>
      <c r="AA99" s="254"/>
      <c r="AB99" s="254"/>
      <c r="AC99" s="254"/>
      <c r="AD99" s="254"/>
      <c r="AE99" s="254"/>
      <c r="AF99" s="254"/>
      <c r="AG99" s="254"/>
      <c r="AH99" s="254"/>
    </row>
    <row r="100" spans="1:34" s="5" customFormat="1" ht="50.1" customHeight="1" x14ac:dyDescent="0.55000000000000004">
      <c r="A100" s="468"/>
      <c r="B100" s="49" t="s">
        <v>24</v>
      </c>
      <c r="C100" s="50">
        <v>54</v>
      </c>
      <c r="D100" s="20" t="s">
        <v>77</v>
      </c>
      <c r="E100" s="49"/>
      <c r="F100" s="234">
        <v>10</v>
      </c>
      <c r="G100" s="254"/>
      <c r="H100" s="254"/>
      <c r="I100" s="254"/>
      <c r="J100" s="254"/>
      <c r="K100" s="254"/>
      <c r="L100" s="254"/>
      <c r="M100" s="254"/>
      <c r="N100" s="254"/>
      <c r="O100" s="254"/>
      <c r="P100" s="254"/>
      <c r="Q100" s="254"/>
      <c r="R100" s="254"/>
      <c r="S100" s="254"/>
      <c r="T100" s="254"/>
      <c r="U100" s="254"/>
      <c r="V100" s="254"/>
      <c r="W100" s="254"/>
      <c r="X100" s="254"/>
      <c r="Y100" s="254"/>
      <c r="Z100" s="254"/>
      <c r="AA100" s="254"/>
      <c r="AB100" s="254"/>
      <c r="AC100" s="254"/>
      <c r="AD100" s="254"/>
      <c r="AE100" s="254"/>
      <c r="AF100" s="254"/>
      <c r="AG100" s="254"/>
      <c r="AH100" s="254"/>
    </row>
    <row r="101" spans="1:34" s="5" customFormat="1" ht="50.1" customHeight="1" x14ac:dyDescent="0.55000000000000004">
      <c r="A101" s="468"/>
      <c r="B101" s="49" t="s">
        <v>24</v>
      </c>
      <c r="C101" s="50">
        <v>55</v>
      </c>
      <c r="D101" s="20" t="s">
        <v>78</v>
      </c>
      <c r="E101" s="49"/>
      <c r="F101" s="234">
        <v>10</v>
      </c>
      <c r="G101" s="254"/>
      <c r="H101" s="254"/>
      <c r="I101" s="254"/>
      <c r="J101" s="254"/>
      <c r="K101" s="254"/>
      <c r="L101" s="254"/>
      <c r="M101" s="254"/>
      <c r="N101" s="254"/>
      <c r="O101" s="254"/>
      <c r="P101" s="254"/>
      <c r="Q101" s="254"/>
      <c r="R101" s="254"/>
      <c r="S101" s="254"/>
      <c r="T101" s="254"/>
      <c r="U101" s="254"/>
      <c r="V101" s="254"/>
      <c r="W101" s="254"/>
      <c r="X101" s="254"/>
      <c r="Y101" s="254"/>
      <c r="Z101" s="254"/>
      <c r="AA101" s="254"/>
      <c r="AB101" s="254"/>
      <c r="AC101" s="254"/>
      <c r="AD101" s="254"/>
      <c r="AE101" s="254"/>
      <c r="AF101" s="254"/>
      <c r="AG101" s="254"/>
      <c r="AH101" s="254"/>
    </row>
    <row r="102" spans="1:34" s="5" customFormat="1" ht="38.1" customHeight="1" x14ac:dyDescent="0.55000000000000004">
      <c r="A102" s="469"/>
      <c r="B102" s="51" t="s">
        <v>24</v>
      </c>
      <c r="C102" s="28">
        <v>56</v>
      </c>
      <c r="D102" s="22" t="s">
        <v>79</v>
      </c>
      <c r="E102" s="51"/>
      <c r="F102" s="233">
        <v>10</v>
      </c>
      <c r="G102" s="254"/>
      <c r="H102" s="254"/>
      <c r="I102" s="254"/>
      <c r="J102" s="254"/>
      <c r="K102" s="254"/>
      <c r="L102" s="254"/>
      <c r="M102" s="254"/>
      <c r="N102" s="254"/>
      <c r="O102" s="254"/>
      <c r="P102" s="254"/>
      <c r="Q102" s="254"/>
      <c r="R102" s="254"/>
      <c r="S102" s="254"/>
      <c r="T102" s="254"/>
      <c r="U102" s="254"/>
      <c r="V102" s="254"/>
      <c r="W102" s="254"/>
      <c r="X102" s="254"/>
      <c r="Y102" s="254"/>
      <c r="Z102" s="254"/>
      <c r="AA102" s="254"/>
      <c r="AB102" s="254"/>
      <c r="AC102" s="254"/>
      <c r="AD102" s="254"/>
      <c r="AE102" s="254"/>
      <c r="AF102" s="254"/>
      <c r="AG102" s="254"/>
      <c r="AH102" s="254"/>
    </row>
    <row r="103" spans="1:34" s="5" customFormat="1" ht="38.1" customHeight="1" x14ac:dyDescent="0.55000000000000004">
      <c r="A103" s="447" t="s">
        <v>325</v>
      </c>
      <c r="B103" s="47" t="s">
        <v>24</v>
      </c>
      <c r="C103" s="25">
        <v>57</v>
      </c>
      <c r="D103" s="17" t="s">
        <v>115</v>
      </c>
      <c r="E103" s="47"/>
      <c r="F103" s="231">
        <v>10</v>
      </c>
      <c r="G103" s="254"/>
      <c r="H103" s="254"/>
      <c r="I103" s="254"/>
      <c r="J103" s="254"/>
      <c r="K103" s="254"/>
      <c r="L103" s="254"/>
      <c r="M103" s="254"/>
      <c r="N103" s="254"/>
      <c r="O103" s="254"/>
      <c r="P103" s="254"/>
      <c r="Q103" s="254"/>
      <c r="R103" s="254"/>
      <c r="S103" s="254"/>
      <c r="T103" s="254"/>
      <c r="U103" s="254"/>
      <c r="V103" s="254"/>
      <c r="W103" s="254"/>
      <c r="X103" s="254"/>
      <c r="Y103" s="254"/>
      <c r="Z103" s="254"/>
      <c r="AA103" s="254"/>
      <c r="AB103" s="254"/>
      <c r="AC103" s="254"/>
      <c r="AD103" s="254"/>
      <c r="AE103" s="254"/>
      <c r="AF103" s="254"/>
      <c r="AG103" s="254"/>
      <c r="AH103" s="254"/>
    </row>
    <row r="104" spans="1:34" s="5" customFormat="1" ht="30" customHeight="1" x14ac:dyDescent="0.55000000000000004">
      <c r="A104" s="448"/>
      <c r="B104" s="49" t="s">
        <v>24</v>
      </c>
      <c r="C104" s="50">
        <v>58</v>
      </c>
      <c r="D104" s="20" t="s">
        <v>80</v>
      </c>
      <c r="E104" s="49"/>
      <c r="F104" s="234">
        <v>10</v>
      </c>
      <c r="G104" s="254"/>
      <c r="H104" s="254"/>
      <c r="I104" s="254"/>
      <c r="J104" s="254"/>
      <c r="K104" s="254"/>
      <c r="L104" s="254"/>
      <c r="M104" s="254"/>
      <c r="N104" s="254"/>
      <c r="O104" s="254"/>
      <c r="P104" s="254"/>
      <c r="Q104" s="254"/>
      <c r="R104" s="254"/>
      <c r="S104" s="254"/>
      <c r="T104" s="254"/>
      <c r="U104" s="254"/>
      <c r="V104" s="254"/>
      <c r="W104" s="254"/>
      <c r="X104" s="254"/>
      <c r="Y104" s="254"/>
      <c r="Z104" s="254"/>
      <c r="AA104" s="254"/>
      <c r="AB104" s="254"/>
      <c r="AC104" s="254"/>
      <c r="AD104" s="254"/>
      <c r="AE104" s="254"/>
      <c r="AF104" s="254"/>
      <c r="AG104" s="254"/>
      <c r="AH104" s="254"/>
    </row>
    <row r="105" spans="1:34" s="5" customFormat="1" ht="38.1" customHeight="1" x14ac:dyDescent="0.55000000000000004">
      <c r="A105" s="449"/>
      <c r="B105" s="51" t="s">
        <v>24</v>
      </c>
      <c r="C105" s="28">
        <v>59</v>
      </c>
      <c r="D105" s="22" t="s">
        <v>81</v>
      </c>
      <c r="E105" s="51"/>
      <c r="F105" s="233">
        <v>10</v>
      </c>
      <c r="G105" s="254"/>
      <c r="H105" s="254"/>
      <c r="I105" s="254"/>
      <c r="J105" s="254"/>
      <c r="K105" s="254"/>
      <c r="L105" s="254"/>
      <c r="M105" s="254"/>
      <c r="N105" s="254"/>
      <c r="O105" s="254"/>
      <c r="P105" s="254"/>
      <c r="Q105" s="254"/>
      <c r="R105" s="254"/>
      <c r="S105" s="254"/>
      <c r="T105" s="254"/>
      <c r="U105" s="254"/>
      <c r="V105" s="254"/>
      <c r="W105" s="254"/>
      <c r="X105" s="254"/>
      <c r="Y105" s="254"/>
      <c r="Z105" s="254"/>
      <c r="AA105" s="254"/>
      <c r="AB105" s="254"/>
      <c r="AC105" s="254"/>
      <c r="AD105" s="254"/>
      <c r="AE105" s="254"/>
      <c r="AF105" s="254"/>
      <c r="AG105" s="254"/>
      <c r="AH105" s="254"/>
    </row>
    <row r="106" spans="1:34" s="5" customFormat="1" ht="30" customHeight="1" x14ac:dyDescent="0.55000000000000004">
      <c r="A106" s="447" t="s">
        <v>326</v>
      </c>
      <c r="B106" s="80" t="s">
        <v>24</v>
      </c>
      <c r="C106" s="81">
        <v>60</v>
      </c>
      <c r="D106" s="17" t="s">
        <v>82</v>
      </c>
      <c r="E106" s="80"/>
      <c r="F106" s="232">
        <v>10</v>
      </c>
      <c r="G106" s="254"/>
      <c r="H106" s="254"/>
      <c r="I106" s="254"/>
      <c r="J106" s="254"/>
      <c r="K106" s="254"/>
      <c r="L106" s="254"/>
      <c r="M106" s="254"/>
      <c r="N106" s="254"/>
      <c r="O106" s="254"/>
      <c r="P106" s="254"/>
      <c r="Q106" s="254"/>
      <c r="R106" s="254"/>
      <c r="S106" s="254"/>
      <c r="T106" s="254"/>
      <c r="U106" s="254"/>
      <c r="V106" s="254"/>
      <c r="W106" s="254"/>
      <c r="X106" s="254"/>
      <c r="Y106" s="254"/>
      <c r="Z106" s="254"/>
      <c r="AA106" s="254"/>
      <c r="AB106" s="254"/>
      <c r="AC106" s="254"/>
      <c r="AD106" s="254"/>
      <c r="AE106" s="254"/>
      <c r="AF106" s="254"/>
      <c r="AG106" s="254"/>
      <c r="AH106" s="254"/>
    </row>
    <row r="107" spans="1:34" s="5" customFormat="1" ht="38.1" customHeight="1" x14ac:dyDescent="0.55000000000000004">
      <c r="A107" s="448"/>
      <c r="B107" s="49" t="s">
        <v>24</v>
      </c>
      <c r="C107" s="50">
        <v>61</v>
      </c>
      <c r="D107" s="20" t="s">
        <v>83</v>
      </c>
      <c r="E107" s="49"/>
      <c r="F107" s="234">
        <v>10</v>
      </c>
      <c r="G107" s="254"/>
      <c r="H107" s="254"/>
      <c r="I107" s="254"/>
      <c r="J107" s="254"/>
      <c r="K107" s="254"/>
      <c r="L107" s="254"/>
      <c r="M107" s="254"/>
      <c r="N107" s="254"/>
      <c r="O107" s="254"/>
      <c r="P107" s="254"/>
      <c r="Q107" s="254"/>
      <c r="R107" s="254"/>
      <c r="S107" s="254"/>
      <c r="T107" s="254"/>
      <c r="U107" s="254"/>
      <c r="V107" s="254"/>
      <c r="W107" s="254"/>
      <c r="X107" s="254"/>
      <c r="Y107" s="254"/>
      <c r="Z107" s="254"/>
      <c r="AA107" s="254"/>
      <c r="AB107" s="254"/>
      <c r="AC107" s="254"/>
      <c r="AD107" s="254"/>
      <c r="AE107" s="254"/>
      <c r="AF107" s="254"/>
      <c r="AG107" s="254"/>
      <c r="AH107" s="254"/>
    </row>
    <row r="108" spans="1:34" s="5" customFormat="1" ht="50.1" customHeight="1" x14ac:dyDescent="0.55000000000000004">
      <c r="A108" s="449"/>
      <c r="B108" s="51" t="s">
        <v>24</v>
      </c>
      <c r="C108" s="28">
        <v>62</v>
      </c>
      <c r="D108" s="22" t="s">
        <v>117</v>
      </c>
      <c r="E108" s="51"/>
      <c r="F108" s="233">
        <v>10</v>
      </c>
      <c r="G108" s="254"/>
      <c r="H108" s="254"/>
      <c r="I108" s="254"/>
      <c r="J108" s="254"/>
      <c r="K108" s="254"/>
      <c r="L108" s="254"/>
      <c r="M108" s="254"/>
      <c r="N108" s="254"/>
      <c r="O108" s="254"/>
      <c r="P108" s="254"/>
      <c r="Q108" s="254"/>
      <c r="R108" s="254"/>
      <c r="S108" s="254"/>
      <c r="T108" s="254"/>
      <c r="U108" s="254"/>
      <c r="V108" s="254"/>
      <c r="W108" s="254"/>
      <c r="X108" s="254"/>
      <c r="Y108" s="254"/>
      <c r="Z108" s="254"/>
      <c r="AA108" s="254"/>
      <c r="AB108" s="254"/>
      <c r="AC108" s="254"/>
      <c r="AD108" s="254"/>
      <c r="AE108" s="254"/>
      <c r="AF108" s="254"/>
      <c r="AG108" s="254"/>
      <c r="AH108" s="254"/>
    </row>
    <row r="109" spans="1:34" s="5" customFormat="1" ht="30" customHeight="1" x14ac:dyDescent="0.55000000000000004">
      <c r="A109" s="450" t="s">
        <v>328</v>
      </c>
      <c r="B109" s="453" t="s">
        <v>24</v>
      </c>
      <c r="C109" s="353">
        <v>63</v>
      </c>
      <c r="D109" s="73" t="s">
        <v>84</v>
      </c>
      <c r="E109" s="356" t="s">
        <v>85</v>
      </c>
      <c r="F109" s="245">
        <v>25</v>
      </c>
      <c r="G109" s="254"/>
      <c r="H109" s="254"/>
      <c r="I109" s="254"/>
      <c r="J109" s="254"/>
      <c r="K109" s="254"/>
      <c r="L109" s="254"/>
      <c r="M109" s="254"/>
      <c r="N109" s="254"/>
      <c r="O109" s="254"/>
      <c r="P109" s="254"/>
      <c r="Q109" s="254"/>
      <c r="R109" s="254"/>
      <c r="S109" s="254"/>
      <c r="T109" s="254"/>
      <c r="U109" s="254"/>
      <c r="V109" s="254"/>
      <c r="W109" s="254"/>
      <c r="X109" s="254"/>
      <c r="Y109" s="254"/>
      <c r="Z109" s="254"/>
      <c r="AA109" s="254"/>
      <c r="AB109" s="254"/>
      <c r="AC109" s="254"/>
      <c r="AD109" s="254"/>
      <c r="AE109" s="254"/>
      <c r="AF109" s="254"/>
      <c r="AG109" s="254"/>
      <c r="AH109" s="254"/>
    </row>
    <row r="110" spans="1:34" s="5" customFormat="1" ht="30" customHeight="1" x14ac:dyDescent="0.55000000000000004">
      <c r="A110" s="451"/>
      <c r="B110" s="454"/>
      <c r="C110" s="354"/>
      <c r="D110" s="20" t="s">
        <v>86</v>
      </c>
      <c r="E110" s="357"/>
      <c r="F110" s="246">
        <v>10</v>
      </c>
      <c r="G110" s="254"/>
      <c r="H110" s="254"/>
      <c r="I110" s="254"/>
      <c r="J110" s="254"/>
      <c r="K110" s="254"/>
      <c r="L110" s="254"/>
      <c r="M110" s="254"/>
      <c r="N110" s="254"/>
      <c r="O110" s="254"/>
      <c r="P110" s="254"/>
      <c r="Q110" s="254"/>
      <c r="R110" s="254"/>
      <c r="S110" s="254"/>
      <c r="T110" s="254"/>
      <c r="U110" s="254"/>
      <c r="V110" s="254"/>
      <c r="W110" s="254"/>
      <c r="X110" s="254"/>
      <c r="Y110" s="254"/>
      <c r="Z110" s="254"/>
      <c r="AA110" s="254"/>
      <c r="AB110" s="254"/>
      <c r="AC110" s="254"/>
      <c r="AD110" s="254"/>
      <c r="AE110" s="254"/>
      <c r="AF110" s="254"/>
      <c r="AG110" s="254"/>
      <c r="AH110" s="254"/>
    </row>
    <row r="111" spans="1:34" s="5" customFormat="1" ht="30" customHeight="1" x14ac:dyDescent="0.55000000000000004">
      <c r="A111" s="451"/>
      <c r="B111" s="454"/>
      <c r="C111" s="354"/>
      <c r="D111" s="20" t="s">
        <v>84</v>
      </c>
      <c r="E111" s="358" t="s">
        <v>87</v>
      </c>
      <c r="F111" s="234">
        <v>35</v>
      </c>
      <c r="G111" s="254"/>
      <c r="H111" s="254"/>
      <c r="I111" s="254"/>
      <c r="J111" s="254"/>
      <c r="K111" s="254"/>
      <c r="L111" s="254"/>
      <c r="M111" s="254"/>
      <c r="N111" s="254"/>
      <c r="O111" s="254"/>
      <c r="P111" s="254"/>
      <c r="Q111" s="254"/>
      <c r="R111" s="254"/>
      <c r="S111" s="254"/>
      <c r="T111" s="254"/>
      <c r="U111" s="254"/>
      <c r="V111" s="254"/>
      <c r="W111" s="254"/>
      <c r="X111" s="254"/>
      <c r="Y111" s="254"/>
      <c r="Z111" s="254"/>
      <c r="AA111" s="254"/>
      <c r="AB111" s="254"/>
      <c r="AC111" s="254"/>
      <c r="AD111" s="254"/>
      <c r="AE111" s="254"/>
      <c r="AF111" s="254"/>
      <c r="AG111" s="254"/>
      <c r="AH111" s="254"/>
    </row>
    <row r="112" spans="1:34" s="5" customFormat="1" ht="30" customHeight="1" x14ac:dyDescent="0.55000000000000004">
      <c r="A112" s="451"/>
      <c r="B112" s="454"/>
      <c r="C112" s="354"/>
      <c r="D112" s="20" t="s">
        <v>88</v>
      </c>
      <c r="E112" s="358"/>
      <c r="F112" s="234">
        <v>15</v>
      </c>
      <c r="G112" s="254"/>
      <c r="H112" s="254"/>
      <c r="I112" s="254"/>
      <c r="J112" s="254"/>
      <c r="K112" s="254"/>
      <c r="L112" s="254"/>
      <c r="M112" s="254"/>
      <c r="N112" s="254"/>
      <c r="O112" s="254"/>
      <c r="P112" s="254"/>
      <c r="Q112" s="254"/>
      <c r="R112" s="254"/>
      <c r="S112" s="254"/>
      <c r="T112" s="254"/>
      <c r="U112" s="254"/>
      <c r="V112" s="254"/>
      <c r="W112" s="254"/>
      <c r="X112" s="254"/>
      <c r="Y112" s="254"/>
      <c r="Z112" s="254"/>
      <c r="AA112" s="254"/>
      <c r="AB112" s="254"/>
      <c r="AC112" s="254"/>
      <c r="AD112" s="254"/>
      <c r="AE112" s="254"/>
      <c r="AF112" s="254"/>
      <c r="AG112" s="254"/>
      <c r="AH112" s="254"/>
    </row>
    <row r="113" spans="1:34" s="5" customFormat="1" ht="30" customHeight="1" x14ac:dyDescent="0.55000000000000004">
      <c r="A113" s="451"/>
      <c r="B113" s="454"/>
      <c r="C113" s="354"/>
      <c r="D113" s="20" t="s">
        <v>84</v>
      </c>
      <c r="E113" s="358" t="s">
        <v>89</v>
      </c>
      <c r="F113" s="234">
        <v>45</v>
      </c>
      <c r="G113" s="254"/>
      <c r="H113" s="254"/>
      <c r="I113" s="254"/>
      <c r="J113" s="254"/>
      <c r="K113" s="254"/>
      <c r="L113" s="254"/>
      <c r="M113" s="254"/>
      <c r="N113" s="254"/>
      <c r="O113" s="254"/>
      <c r="P113" s="254"/>
      <c r="Q113" s="254"/>
      <c r="R113" s="254"/>
      <c r="S113" s="254"/>
      <c r="T113" s="254"/>
      <c r="U113" s="254"/>
      <c r="V113" s="254"/>
      <c r="W113" s="254"/>
      <c r="X113" s="254"/>
      <c r="Y113" s="254"/>
      <c r="Z113" s="254"/>
      <c r="AA113" s="254"/>
      <c r="AB113" s="254"/>
      <c r="AC113" s="254"/>
      <c r="AD113" s="254"/>
      <c r="AE113" s="254"/>
      <c r="AF113" s="254"/>
      <c r="AG113" s="254"/>
      <c r="AH113" s="254"/>
    </row>
    <row r="114" spans="1:34" s="5" customFormat="1" ht="30" customHeight="1" x14ac:dyDescent="0.55000000000000004">
      <c r="A114" s="451"/>
      <c r="B114" s="454"/>
      <c r="C114" s="354"/>
      <c r="D114" s="20" t="s">
        <v>88</v>
      </c>
      <c r="E114" s="358"/>
      <c r="F114" s="234">
        <v>20</v>
      </c>
      <c r="G114" s="254"/>
      <c r="H114" s="254"/>
      <c r="I114" s="254"/>
      <c r="J114" s="254"/>
      <c r="K114" s="254"/>
      <c r="L114" s="254"/>
      <c r="M114" s="254"/>
      <c r="N114" s="254"/>
      <c r="O114" s="254"/>
      <c r="P114" s="254"/>
      <c r="Q114" s="254"/>
      <c r="R114" s="254"/>
      <c r="S114" s="254"/>
      <c r="T114" s="254"/>
      <c r="U114" s="254"/>
      <c r="V114" s="254"/>
      <c r="W114" s="254"/>
      <c r="X114" s="254"/>
      <c r="Y114" s="254"/>
      <c r="Z114" s="254"/>
      <c r="AA114" s="254"/>
      <c r="AB114" s="254"/>
      <c r="AC114" s="254"/>
      <c r="AD114" s="254"/>
      <c r="AE114" s="254"/>
      <c r="AF114" s="254"/>
      <c r="AG114" s="254"/>
      <c r="AH114" s="254"/>
    </row>
    <row r="115" spans="1:34" s="5" customFormat="1" ht="30" customHeight="1" x14ac:dyDescent="0.55000000000000004">
      <c r="A115" s="451"/>
      <c r="B115" s="454"/>
      <c r="C115" s="354"/>
      <c r="D115" s="20" t="s">
        <v>84</v>
      </c>
      <c r="E115" s="358" t="s">
        <v>90</v>
      </c>
      <c r="F115" s="247">
        <v>50</v>
      </c>
      <c r="G115" s="254"/>
      <c r="H115" s="254"/>
      <c r="I115" s="254"/>
      <c r="J115" s="254"/>
      <c r="K115" s="254"/>
      <c r="L115" s="254"/>
      <c r="M115" s="254"/>
      <c r="N115" s="254"/>
      <c r="O115" s="254"/>
      <c r="P115" s="254"/>
      <c r="Q115" s="254"/>
      <c r="R115" s="254"/>
      <c r="S115" s="254"/>
      <c r="T115" s="254"/>
      <c r="U115" s="254"/>
      <c r="V115" s="254"/>
      <c r="W115" s="254"/>
      <c r="X115" s="254"/>
      <c r="Y115" s="254"/>
      <c r="Z115" s="254"/>
      <c r="AA115" s="254"/>
      <c r="AB115" s="254"/>
      <c r="AC115" s="254"/>
      <c r="AD115" s="254"/>
      <c r="AE115" s="254"/>
      <c r="AF115" s="254"/>
      <c r="AG115" s="254"/>
      <c r="AH115" s="254"/>
    </row>
    <row r="116" spans="1:34" s="5" customFormat="1" ht="30" customHeight="1" x14ac:dyDescent="0.55000000000000004">
      <c r="A116" s="452"/>
      <c r="B116" s="455"/>
      <c r="C116" s="355"/>
      <c r="D116" s="22" t="s">
        <v>88</v>
      </c>
      <c r="E116" s="359"/>
      <c r="F116" s="233">
        <v>25</v>
      </c>
      <c r="G116" s="254"/>
      <c r="H116" s="254"/>
      <c r="I116" s="254"/>
      <c r="J116" s="254"/>
      <c r="K116" s="254"/>
      <c r="L116" s="254"/>
      <c r="M116" s="254"/>
      <c r="N116" s="254"/>
      <c r="O116" s="254"/>
      <c r="P116" s="254"/>
      <c r="Q116" s="254"/>
      <c r="R116" s="254"/>
      <c r="S116" s="254"/>
      <c r="T116" s="254"/>
      <c r="U116" s="254"/>
      <c r="V116" s="254"/>
      <c r="W116" s="254"/>
      <c r="X116" s="254"/>
      <c r="Y116" s="254"/>
      <c r="Z116" s="254"/>
      <c r="AA116" s="254"/>
      <c r="AB116" s="254"/>
      <c r="AC116" s="254"/>
      <c r="AD116" s="254"/>
      <c r="AE116" s="254"/>
      <c r="AF116" s="254"/>
      <c r="AG116" s="254"/>
      <c r="AH116" s="254"/>
    </row>
    <row r="117" spans="1:34" x14ac:dyDescent="0.55000000000000004">
      <c r="D117" s="215"/>
    </row>
    <row r="118" spans="1:34" x14ac:dyDescent="0.55000000000000004">
      <c r="D118" s="215"/>
    </row>
    <row r="119" spans="1:34" x14ac:dyDescent="0.55000000000000004">
      <c r="D119" s="215"/>
    </row>
    <row r="120" spans="1:34" x14ac:dyDescent="0.55000000000000004">
      <c r="D120" s="215"/>
    </row>
    <row r="121" spans="1:34" x14ac:dyDescent="0.55000000000000004">
      <c r="D121" s="215"/>
    </row>
    <row r="122" spans="1:34" x14ac:dyDescent="0.55000000000000004">
      <c r="D122" s="215"/>
    </row>
    <row r="123" spans="1:34" x14ac:dyDescent="0.55000000000000004">
      <c r="D123" s="215"/>
    </row>
    <row r="124" spans="1:34" x14ac:dyDescent="0.55000000000000004">
      <c r="D124" s="215"/>
    </row>
    <row r="125" spans="1:34" x14ac:dyDescent="0.55000000000000004">
      <c r="D125" s="215"/>
    </row>
    <row r="126" spans="1:34" x14ac:dyDescent="0.55000000000000004">
      <c r="D126" s="215"/>
    </row>
    <row r="127" spans="1:34" x14ac:dyDescent="0.55000000000000004">
      <c r="D127" s="215"/>
    </row>
  </sheetData>
  <mergeCells count="137">
    <mergeCell ref="E109:E110"/>
    <mergeCell ref="E111:E112"/>
    <mergeCell ref="E113:E114"/>
    <mergeCell ref="E115:E116"/>
    <mergeCell ref="G13:AH13"/>
    <mergeCell ref="A88:A91"/>
    <mergeCell ref="A92:A96"/>
    <mergeCell ref="A97:A98"/>
    <mergeCell ref="B97:D98"/>
    <mergeCell ref="A99:A102"/>
    <mergeCell ref="A103:A105"/>
    <mergeCell ref="A106:A108"/>
    <mergeCell ref="A109:A116"/>
    <mergeCell ref="B109:B116"/>
    <mergeCell ref="C109:C116"/>
    <mergeCell ref="A66:A67"/>
    <mergeCell ref="B66:D67"/>
    <mergeCell ref="A68:A73"/>
    <mergeCell ref="A74:A78"/>
    <mergeCell ref="E76:E78"/>
    <mergeCell ref="A79:A81"/>
    <mergeCell ref="A82:A83"/>
    <mergeCell ref="B82:D83"/>
    <mergeCell ref="A84:A87"/>
    <mergeCell ref="A55:A57"/>
    <mergeCell ref="B55:B57"/>
    <mergeCell ref="C55:C57"/>
    <mergeCell ref="E55:E57"/>
    <mergeCell ref="A58:A61"/>
    <mergeCell ref="B58:B61"/>
    <mergeCell ref="C58:C61"/>
    <mergeCell ref="E58:E61"/>
    <mergeCell ref="A62:A65"/>
    <mergeCell ref="A41:A45"/>
    <mergeCell ref="A46:A49"/>
    <mergeCell ref="B46:B49"/>
    <mergeCell ref="C46:C49"/>
    <mergeCell ref="E46:E49"/>
    <mergeCell ref="A50:A54"/>
    <mergeCell ref="B50:B54"/>
    <mergeCell ref="C50:C54"/>
    <mergeCell ref="E50:E54"/>
    <mergeCell ref="A24:A25"/>
    <mergeCell ref="B24:B25"/>
    <mergeCell ref="C24:C25"/>
    <mergeCell ref="E24:E25"/>
    <mergeCell ref="A32:F32"/>
    <mergeCell ref="A33:A34"/>
    <mergeCell ref="B33:D34"/>
    <mergeCell ref="A35:A37"/>
    <mergeCell ref="A38:A40"/>
    <mergeCell ref="Z11:Z12"/>
    <mergeCell ref="AA11:AA12"/>
    <mergeCell ref="AB11:AB12"/>
    <mergeCell ref="AC11:AC12"/>
    <mergeCell ref="AD11:AD12"/>
    <mergeCell ref="AE11:AE12"/>
    <mergeCell ref="T11:T12"/>
    <mergeCell ref="U11:U12"/>
    <mergeCell ref="V11:V12"/>
    <mergeCell ref="W11:W12"/>
    <mergeCell ref="X11:X12"/>
    <mergeCell ref="Y11:Y12"/>
    <mergeCell ref="P11:P12"/>
    <mergeCell ref="Q11:Q12"/>
    <mergeCell ref="R11:R12"/>
    <mergeCell ref="S11:S12"/>
    <mergeCell ref="AF9:AF10"/>
    <mergeCell ref="AG9:AG10"/>
    <mergeCell ref="F11:F12"/>
    <mergeCell ref="G11:G12"/>
    <mergeCell ref="H11:H12"/>
    <mergeCell ref="I11:I12"/>
    <mergeCell ref="J11:J12"/>
    <mergeCell ref="K11:K12"/>
    <mergeCell ref="L11:L12"/>
    <mergeCell ref="M11:M12"/>
    <mergeCell ref="Z9:Z10"/>
    <mergeCell ref="AA9:AA10"/>
    <mergeCell ref="AB9:AB10"/>
    <mergeCell ref="AC9:AC10"/>
    <mergeCell ref="AD9:AD10"/>
    <mergeCell ref="AE9:AE10"/>
    <mergeCell ref="T9:T10"/>
    <mergeCell ref="U9:U10"/>
    <mergeCell ref="AF11:AF12"/>
    <mergeCell ref="AG11:AG12"/>
    <mergeCell ref="AB6:AC8"/>
    <mergeCell ref="AD6:AE8"/>
    <mergeCell ref="AF6:AG8"/>
    <mergeCell ref="A8:A12"/>
    <mergeCell ref="F9:F10"/>
    <mergeCell ref="G9:G10"/>
    <mergeCell ref="H9:H10"/>
    <mergeCell ref="I9:I10"/>
    <mergeCell ref="J9:J10"/>
    <mergeCell ref="N6:O8"/>
    <mergeCell ref="P6:Q8"/>
    <mergeCell ref="R6:S8"/>
    <mergeCell ref="T6:U8"/>
    <mergeCell ref="V6:W8"/>
    <mergeCell ref="X6:Y8"/>
    <mergeCell ref="X9:X10"/>
    <mergeCell ref="Y9:Y10"/>
    <mergeCell ref="N9:N10"/>
    <mergeCell ref="O9:O10"/>
    <mergeCell ref="P9:P10"/>
    <mergeCell ref="Q9:Q10"/>
    <mergeCell ref="R9:R10"/>
    <mergeCell ref="N11:N12"/>
    <mergeCell ref="O11:O12"/>
    <mergeCell ref="S9:S10"/>
    <mergeCell ref="Z6:AA8"/>
    <mergeCell ref="A4:E4"/>
    <mergeCell ref="F6:G8"/>
    <mergeCell ref="H6:I8"/>
    <mergeCell ref="J6:K8"/>
    <mergeCell ref="L6:M8"/>
    <mergeCell ref="K9:K10"/>
    <mergeCell ref="L9:L10"/>
    <mergeCell ref="M9:M10"/>
    <mergeCell ref="V9:V10"/>
    <mergeCell ref="W9:W10"/>
    <mergeCell ref="A19:A20"/>
    <mergeCell ref="A21:A23"/>
    <mergeCell ref="B21:B23"/>
    <mergeCell ref="C21:C23"/>
    <mergeCell ref="E21:E23"/>
    <mergeCell ref="A13:A14"/>
    <mergeCell ref="B13:E14"/>
    <mergeCell ref="A15:A18"/>
    <mergeCell ref="B15:B16"/>
    <mergeCell ref="C15:C16"/>
    <mergeCell ref="E15:E16"/>
    <mergeCell ref="B17:B18"/>
    <mergeCell ref="C17:C18"/>
    <mergeCell ref="E17:E18"/>
  </mergeCells>
  <pageMargins left="0.28000000000000003" right="0.1" top="0.25" bottom="0.17" header="0.17" footer="0.17"/>
  <pageSetup paperSize="9" scale="98"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2. Tiêu chuẩn bắt buộc</vt:lpstr>
      <vt:lpstr>4. Tiêu chuẩn năng lực - XN</vt:lpstr>
      <vt:lpstr>3. HD đánh giá chi tiết KTV XN</vt:lpstr>
      <vt:lpstr>5. Tự đánh giá năng lực - XN</vt:lpstr>
      <vt:lpstr>'3. HD đánh giá chi tiết KTV XN'!Print_Area</vt:lpstr>
      <vt:lpstr>'4. Tiêu chuẩn năng lực - XN'!Print_Area</vt:lpstr>
    </vt:vector>
  </TitlesOfParts>
  <Company>umc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 Thi Cam Nhung</dc:creator>
  <cp:lastModifiedBy>Nguyen Thi Kim Quyen (Khoa TMH-CS2)</cp:lastModifiedBy>
  <dcterms:created xsi:type="dcterms:W3CDTF">2023-06-05T00:57:28Z</dcterms:created>
  <dcterms:modified xsi:type="dcterms:W3CDTF">2026-09-12T06:12:51Z</dcterms:modified>
</cp:coreProperties>
</file>